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jahn\Downloads\"/>
    </mc:Choice>
  </mc:AlternateContent>
  <xr:revisionPtr revIDLastSave="0" documentId="13_ncr:1_{7DE2C134-7446-4EB4-AF08-8E1B3DC3E2B1}" xr6:coauthVersionLast="47" xr6:coauthVersionMax="47" xr10:uidLastSave="{00000000-0000-0000-0000-000000000000}"/>
  <bookViews>
    <workbookView xWindow="-110" yWindow="-110" windowWidth="19420" windowHeight="11500" tabRatio="801" activeTab="2" xr2:uid="{B456ABAB-9710-1A41-9AAD-930C444190E8}"/>
  </bookViews>
  <sheets>
    <sheet name="Sheet4" sheetId="6" r:id="rId1"/>
    <sheet name="Sheet5" sheetId="7" r:id="rId2"/>
    <sheet name="Sheet6" sheetId="8" r:id="rId3"/>
    <sheet name="Cleaned_Data" sheetId="5" r:id="rId4"/>
    <sheet name="Sheet1" sheetId="2" r:id="rId5"/>
    <sheet name="Sheet3" sheetId="4" r:id="rId6"/>
    <sheet name="Delinquency_prediction_dataset" sheetId="1" r:id="rId7"/>
  </sheets>
  <calcPr calcId="191029"/>
  <pivotCaches>
    <pivotCache cacheId="0" r:id="rId8"/>
    <pivotCache cacheId="1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" i="5" l="1"/>
  <c r="V1" i="5"/>
  <c r="U1" i="5"/>
  <c r="E8" i="4"/>
  <c r="E12" i="4"/>
  <c r="E11" i="4"/>
  <c r="E10" i="4"/>
  <c r="E9" i="4"/>
  <c r="E7" i="4"/>
  <c r="E6" i="4"/>
  <c r="E5" i="4"/>
</calcChain>
</file>

<file path=xl/sharedStrings.xml><?xml version="1.0" encoding="utf-8"?>
<sst xmlns="http://schemas.openxmlformats.org/spreadsheetml/2006/main" count="10098" uniqueCount="575">
  <si>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</si>
  <si>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</si>
  <si>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</si>
  <si>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</si>
  <si>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</si>
  <si>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</si>
  <si>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</si>
  <si>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</si>
  <si>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</si>
  <si>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</si>
  <si>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</si>
  <si>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</si>
  <si>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</si>
  <si>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</si>
  <si>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</si>
  <si>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</si>
  <si>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</si>
  <si>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</si>
  <si>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</si>
  <si>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</si>
  <si>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</si>
  <si>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</si>
  <si>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</si>
  <si>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</si>
  <si>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</si>
  <si>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</si>
  <si>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</si>
  <si>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</si>
  <si>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</si>
  <si>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</si>
  <si>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</si>
  <si>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</si>
  <si>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</si>
  <si>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</si>
  <si>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</si>
  <si>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</si>
  <si>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</si>
  <si>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</si>
  <si>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</si>
  <si>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</si>
  <si>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</si>
  <si>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</si>
  <si>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</si>
  <si>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</si>
  <si>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</si>
  <si>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</si>
  <si>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</si>
  <si>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</si>
  <si>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</si>
  <si>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</si>
  <si>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</si>
  <si>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</si>
  <si>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</si>
  <si>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</si>
  <si>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</si>
  <si>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</si>
  <si>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</si>
  <si>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</si>
  <si>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</si>
  <si>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</si>
  <si>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</si>
  <si>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</si>
  <si>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</si>
  <si>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</si>
  <si>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</si>
  <si>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</si>
  <si>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</si>
  <si>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</si>
  <si>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</si>
  <si>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</si>
  <si>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</si>
  <si>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</si>
  <si>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</si>
  <si>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</si>
  <si>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</si>
  <si>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</si>
  <si>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</si>
  <si>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</si>
  <si>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</si>
  <si>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</si>
  <si>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</si>
  <si>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</si>
  <si>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</si>
  <si>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</si>
  <si>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</si>
  <si>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</si>
  <si>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</si>
  <si>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</si>
  <si>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</si>
  <si>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</si>
  <si>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</si>
  <si>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</si>
  <si>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</si>
  <si>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</si>
  <si>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</si>
  <si>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</si>
  <si>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</si>
  <si>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</si>
  <si>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</si>
  <si>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</si>
  <si>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</si>
  <si>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</si>
  <si>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</si>
  <si>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</si>
  <si>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</si>
  <si>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</si>
  <si>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</si>
  <si>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</si>
  <si>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</si>
  <si>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</si>
  <si>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</si>
  <si>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</si>
  <si>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</si>
  <si>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</si>
  <si>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</si>
  <si>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</si>
  <si>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</si>
  <si>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</si>
  <si>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</si>
  <si>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</si>
  <si>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</si>
  <si>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</si>
  <si>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</si>
  <si>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</si>
  <si>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</si>
  <si>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</si>
  <si>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</si>
  <si>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</si>
  <si>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</si>
  <si>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</si>
  <si>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</si>
  <si>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</si>
  <si>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</si>
  <si>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</si>
  <si>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</si>
  <si>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</si>
  <si>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</si>
  <si>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</si>
  <si>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</si>
  <si>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</si>
  <si>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</si>
  <si>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</si>
  <si>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</si>
  <si>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</si>
  <si>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</si>
  <si>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</si>
  <si>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</si>
  <si>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</si>
  <si>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</si>
  <si>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</si>
  <si>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</si>
  <si>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</si>
  <si>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</si>
  <si>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</si>
  <si>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</si>
  <si>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</si>
  <si>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</si>
  <si>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</si>
  <si>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</si>
  <si>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</si>
  <si>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</si>
  <si>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</si>
  <si>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</si>
  <si>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</si>
  <si>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</si>
  <si>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</si>
  <si>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</si>
  <si>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</si>
  <si>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</si>
  <si>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</si>
  <si>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</si>
  <si>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</si>
  <si>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</si>
  <si>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</si>
  <si>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</si>
  <si>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</si>
  <si>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</si>
  <si>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</si>
  <si>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</si>
  <si>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</si>
  <si>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</si>
  <si>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</si>
  <si>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</si>
  <si>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</si>
  <si>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</si>
  <si>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</si>
  <si>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</si>
  <si>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</si>
  <si>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</si>
  <si>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</si>
  <si>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</si>
  <si>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</si>
  <si>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</si>
  <si>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</si>
  <si>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</si>
  <si>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</si>
  <si>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</si>
  <si>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</si>
  <si>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</si>
  <si>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</si>
  <si>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</si>
  <si>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</si>
  <si>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</si>
  <si>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</si>
  <si>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</si>
  <si>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</si>
  <si>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</si>
  <si>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</si>
  <si>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</si>
  <si>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</si>
  <si>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</si>
  <si>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</si>
  <si>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</si>
  <si>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</si>
  <si>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</si>
  <si>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</si>
  <si>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</si>
  <si>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</si>
  <si>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</si>
  <si>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</si>
  <si>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</si>
  <si>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</si>
  <si>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</si>
  <si>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</si>
  <si>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</si>
  <si>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</si>
  <si>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</si>
  <si>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</si>
  <si>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</si>
  <si>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</si>
  <si>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</si>
  <si>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</si>
  <si>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</si>
  <si>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</si>
  <si>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</si>
  <si>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</si>
  <si>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</si>
  <si>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</si>
  <si>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</si>
  <si>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</si>
  <si>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</si>
  <si>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</si>
  <si>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</si>
  <si>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</si>
  <si>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</si>
  <si>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</si>
  <si>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</si>
  <si>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</si>
  <si>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</si>
  <si>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</si>
  <si>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</si>
  <si>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</si>
  <si>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</si>
  <si>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</si>
  <si>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</si>
  <si>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</si>
  <si>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</si>
  <si>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</si>
  <si>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</si>
  <si>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</si>
  <si>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</si>
  <si>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</si>
  <si>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</si>
  <si>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</si>
  <si>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</si>
  <si>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</si>
  <si>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</si>
  <si>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</si>
  <si>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</si>
  <si>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</si>
  <si>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</si>
  <si>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</si>
  <si>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</si>
  <si>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</si>
  <si>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</si>
  <si>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</si>
  <si>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</si>
  <si>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</si>
  <si>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</si>
  <si>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</si>
  <si>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</si>
  <si>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</si>
  <si>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</si>
  <si>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</si>
  <si>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</si>
  <si>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</si>
  <si>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</si>
  <si>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</si>
  <si>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</si>
  <si>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</si>
  <si>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</si>
  <si>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</si>
  <si>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</si>
  <si>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</si>
  <si>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</si>
  <si>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</si>
  <si>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</si>
  <si>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</si>
  <si>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</si>
  <si>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</si>
  <si>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</si>
  <si>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</si>
  <si>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</si>
  <si>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</si>
  <si>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</si>
  <si>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</si>
  <si>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</si>
  <si>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</si>
  <si>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</si>
  <si>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</si>
  <si>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</si>
  <si>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</si>
  <si>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</si>
  <si>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</si>
  <si>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</si>
  <si>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</si>
  <si>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</si>
  <si>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</si>
  <si>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</si>
  <si>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</si>
  <si>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</si>
  <si>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</si>
  <si>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</si>
  <si>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</si>
  <si>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</si>
  <si>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</si>
  <si>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</si>
  <si>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</si>
  <si>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</si>
  <si>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</si>
  <si>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</si>
  <si>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</si>
  <si>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</si>
  <si>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</si>
  <si>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</si>
  <si>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</si>
  <si>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</si>
  <si>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</si>
  <si>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</si>
  <si>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</si>
  <si>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</si>
  <si>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</si>
  <si>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</si>
  <si>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</si>
  <si>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</si>
  <si>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</si>
  <si>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</si>
  <si>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</si>
  <si>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</si>
  <si>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</si>
  <si>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</si>
  <si>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</si>
  <si>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</si>
  <si>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</si>
  <si>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</si>
  <si>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</si>
  <si>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</si>
  <si>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</si>
  <si>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</si>
  <si>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</si>
  <si>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</si>
  <si>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</si>
  <si>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</si>
  <si>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</si>
  <si>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</si>
  <si>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</si>
  <si>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</si>
  <si>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</si>
  <si>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</si>
  <si>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</si>
  <si>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</si>
  <si>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</si>
  <si>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</si>
  <si>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</si>
  <si>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</si>
  <si>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</si>
  <si>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</si>
  <si>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</si>
  <si>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</si>
  <si>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</si>
  <si>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</si>
  <si>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</si>
  <si>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</si>
  <si>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</si>
  <si>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</si>
  <si>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</si>
  <si>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</si>
  <si>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</si>
  <si>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</si>
  <si>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</si>
  <si>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</si>
  <si>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</si>
  <si>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</si>
  <si>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</si>
  <si>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</si>
  <si>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</si>
  <si>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</si>
  <si>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</si>
  <si>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</si>
  <si>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</si>
  <si>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</si>
  <si>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</si>
  <si>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</si>
  <si>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</si>
  <si>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</si>
  <si>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</si>
  <si>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</si>
  <si>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</si>
  <si>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</si>
  <si>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</si>
  <si>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</si>
  <si>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</si>
  <si>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</si>
  <si>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</si>
  <si>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</si>
  <si>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</si>
  <si>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</si>
  <si>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</si>
  <si>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</si>
  <si>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</si>
  <si>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</si>
  <si>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</si>
  <si>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</si>
  <si>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</si>
  <si>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</si>
  <si>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</si>
  <si>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</si>
  <si>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</si>
  <si>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</si>
  <si>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</si>
  <si>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</si>
  <si>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</si>
  <si>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</si>
  <si>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</si>
  <si>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</si>
  <si>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</si>
  <si>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</si>
  <si>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</si>
  <si>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</si>
  <si>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</si>
  <si>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</si>
  <si>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</si>
  <si>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</si>
  <si>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</si>
  <si>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</si>
  <si>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</si>
  <si>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</si>
  <si>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</si>
  <si>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</si>
  <si>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</si>
  <si>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</si>
  <si>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</si>
  <si>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</si>
  <si>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</si>
  <si>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</si>
  <si>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</si>
  <si>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</si>
  <si>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</si>
  <si>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</si>
  <si>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</si>
  <si>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</si>
  <si>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</si>
  <si>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</si>
  <si>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</si>
  <si>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</si>
  <si>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</si>
  <si>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</si>
  <si>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</si>
  <si>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</si>
  <si>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</si>
  <si>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</si>
  <si>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</si>
  <si>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</si>
  <si>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</si>
  <si>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</si>
  <si>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</si>
  <si>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</si>
  <si>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</si>
  <si>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</si>
  <si>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</si>
  <si>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</si>
  <si>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</si>
  <si>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</si>
  <si>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</si>
  <si>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</si>
  <si>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</si>
  <si>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</si>
  <si>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</si>
  <si>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</si>
  <si>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</si>
  <si>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</si>
  <si>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</si>
  <si>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</si>
  <si>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</si>
  <si>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</si>
  <si>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</si>
  <si>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</si>
  <si>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</si>
  <si>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</si>
  <si>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</si>
  <si>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</si>
  <si>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</si>
  <si>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</si>
  <si>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</si>
  <si>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</si>
  <si>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</si>
  <si>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</si>
  <si>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</si>
  <si>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</si>
  <si>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</si>
  <si>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</si>
  <si>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</si>
  <si>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</si>
  <si>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</si>
  <si>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</si>
  <si>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</si>
  <si>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</si>
  <si>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</si>
  <si>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</si>
  <si>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</si>
  <si>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</si>
  <si>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</si>
  <si>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</si>
  <si>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</si>
  <si>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</si>
  <si>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</si>
  <si>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</si>
  <si>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</si>
  <si>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</si>
  <si>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</si>
  <si>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</si>
  <si>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</si>
  <si>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</si>
  <si>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</si>
  <si>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</si>
  <si>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</si>
  <si>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</si>
  <si>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</si>
  <si>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Row Labels</t>
  </si>
  <si>
    <t>Grand Total</t>
  </si>
  <si>
    <t>Count of Delinquent_Account</t>
  </si>
  <si>
    <t>Column Labels</t>
  </si>
  <si>
    <t>Count of Customer_ID</t>
  </si>
  <si>
    <t>Delinquency %</t>
  </si>
  <si>
    <t>(blank)</t>
  </si>
  <si>
    <t>0.05-0.25</t>
  </si>
  <si>
    <t>0.25-0.45</t>
  </si>
  <si>
    <t>0.45-0.65</t>
  </si>
  <si>
    <t>0.65-0.85</t>
  </si>
  <si>
    <t>0.85-1.05</t>
  </si>
  <si>
    <t>301-400</t>
  </si>
  <si>
    <t>401-500</t>
  </si>
  <si>
    <t>501-600</t>
  </si>
  <si>
    <t>601-700</t>
  </si>
  <si>
    <t>701-800</t>
  </si>
  <si>
    <t>801-900</t>
  </si>
  <si>
    <t>15404-25403</t>
  </si>
  <si>
    <t>25404-35403</t>
  </si>
  <si>
    <t>35404-45403</t>
  </si>
  <si>
    <t>45404-55403</t>
  </si>
  <si>
    <t>55404-65403</t>
  </si>
  <si>
    <t>65404-75403</t>
  </si>
  <si>
    <t>75404-85403</t>
  </si>
  <si>
    <t>85404-95403</t>
  </si>
  <si>
    <t>95404-105403</t>
  </si>
  <si>
    <t>105404-115403</t>
  </si>
  <si>
    <t>115404-125403</t>
  </si>
  <si>
    <t>125404-135403</t>
  </si>
  <si>
    <t>135404-145403</t>
  </si>
  <si>
    <t>145404-155403</t>
  </si>
  <si>
    <t>155404-165403</t>
  </si>
  <si>
    <t>165404-175403</t>
  </si>
  <si>
    <t>175404-185403</t>
  </si>
  <si>
    <t>185404-195403</t>
  </si>
  <si>
    <t>195404-205403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</si>
</sst>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42" applyFont="1"/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hnavi j" refreshedDate="46314.951937500002" createdVersion="8" refreshedVersion="8" minRefreshableVersion="3" recordCount="500" xr:uid="{6E84EF08-E4BE-4AD5-A3B0-5D1D1DE217DF}">
  <cacheSource type="worksheet">
    <worksheetSource ref="A1:S501" sheet="Delinquency_prediction_dataset"/>
  </cacheSource>
  <cacheFields count="19">
    <cacheField name="Customer_ID" numFmtId="0">
      <sharedItems count="500">
        <s v="CUST0001"/>
        <s v="CUST0002"/>
        <s v="CUST0003"/>
        <s v="CUST0004"/>
        <s v="CUST0005"/>
        <s v="CUST0006"/>
        <s v="CUST0007"/>
        <s v="CUST0008"/>
        <s v="CUST0009"/>
        <s v="CUST0010"/>
        <s v="CUST0011"/>
        <s v="CUST0012"/>
        <s v="CUST0013"/>
        <s v="CUST0014"/>
        <s v="CUST0015"/>
        <s v="CUST0016"/>
        <s v="CUST0017"/>
        <s v="CUST0018"/>
        <s v="CUST0019"/>
        <s v="CUST0020"/>
        <s v="CUST0021"/>
        <s v="CUST0022"/>
        <s v="CUST0023"/>
        <s v="CUST0024"/>
        <s v="CUST0025"/>
        <s v="CUST0026"/>
        <s v="CUST0027"/>
        <s v="CUST0028"/>
        <s v="CUST0029"/>
        <s v="CUST0030"/>
        <s v="CUST0031"/>
        <s v="CUST0032"/>
        <s v="CUST0033"/>
        <s v="CUST0034"/>
        <s v="CUST0035"/>
        <s v="CUST0036"/>
        <s v="CUST0037"/>
        <s v="CUST0038"/>
        <s v="CUST0039"/>
        <s v="CUST0040"/>
        <s v="CUST0041"/>
        <s v="CUST0042"/>
        <s v="CUST0043"/>
        <s v="CUST0044"/>
        <s v="CUST0045"/>
        <s v="CUST0046"/>
        <s v="CUST0047"/>
        <s v="CUST0048"/>
        <s v="CUST0049"/>
        <s v="CUST0050"/>
        <s v="CUST0051"/>
        <s v="CUST0052"/>
        <s v="CUST0053"/>
        <s v="CUST0054"/>
        <s v="CUST0055"/>
        <s v="CUST0056"/>
        <s v="CUST0057"/>
        <s v="CUST0058"/>
        <s v="CUST0059"/>
        <s v="CUST0060"/>
        <s v="CUST0061"/>
        <s v="CUST0062"/>
        <s v="CUST0063"/>
        <s v="CUST0064"/>
        <s v="CUST0065"/>
        <s v="CUST0066"/>
        <s v="CUST0067"/>
        <s v="CUST0068"/>
        <s v="CUST0069"/>
        <s v="CUST0070"/>
        <s v="CUST0071"/>
        <s v="CUST0072"/>
        <s v="CUST0073"/>
        <s v="CUST0074"/>
        <s v="CUST0075"/>
        <s v="CUST0076"/>
        <s v="CUST0077"/>
        <s v="CUST0078"/>
        <s v="CUST0079"/>
        <s v="CUST0080"/>
        <s v="CUST0081"/>
        <s v="CUST0082"/>
        <s v="CUST0083"/>
        <s v="CUST0084"/>
        <s v="CUST0085"/>
        <s v="CUST0086"/>
        <s v="CUST0087"/>
        <s v="CUST0088"/>
        <s v="CUST0089"/>
        <s v="CUST0090"/>
        <s v="CUST0091"/>
        <s v="CUST0092"/>
        <s v="CUST0093"/>
        <s v="CUST0094"/>
        <s v="CUST0095"/>
        <s v="CUST0096"/>
        <s v="CUST0097"/>
        <s v="CUST0098"/>
        <s v="CUST0099"/>
        <s v="CUST0100"/>
        <s v="CUST0101"/>
        <s v="CUST0102"/>
        <s v="CUST0103"/>
        <s v="CUST0104"/>
        <s v="CUST0105"/>
        <s v="CUST0106"/>
        <s v="CUST0107"/>
        <s v="CUST0108"/>
        <s v="CUST0109"/>
        <s v="CUST0110"/>
        <s v="CUST0111"/>
        <s v="CUST0112"/>
        <s v="CUST0113"/>
        <s v="CUST0114"/>
        <s v="CUST0115"/>
        <s v="CUST0116"/>
        <s v="CUST0117"/>
        <s v="CUST0118"/>
        <s v="CUST0119"/>
        <s v="CUST0120"/>
        <s v="CUST0121"/>
        <s v="CUST0122"/>
        <s v="CUST0123"/>
        <s v="CUST0124"/>
        <s v="CUST0125"/>
        <s v="CUST0126"/>
        <s v="CUST0127"/>
        <s v="CUST0128"/>
        <s v="CUST0129"/>
        <s v="CUST0130"/>
        <s v="CUST0131"/>
        <s v="CUST0132"/>
        <s v="CUST0133"/>
        <s v="CUST0134"/>
        <s v="CUST0135"/>
        <s v="CUST0136"/>
        <s v="CUST0137"/>
        <s v="CUST0138"/>
        <s v="CUST0139"/>
        <s v="CUST0140"/>
        <s v="CUST0141"/>
        <s v="CUST0142"/>
        <s v="CUST0143"/>
        <s v="CUST0144"/>
        <s v="CUST0145"/>
        <s v="CUST0146"/>
        <s v="CUST0147"/>
        <s v="CUST0148"/>
        <s v="CUST0149"/>
        <s v="CUST0150"/>
        <s v="CUST0151"/>
        <s v="CUST0152"/>
        <s v="CUST0153"/>
        <s v="CUST0154"/>
        <s v="CUST0155"/>
        <s v="CUST0156"/>
        <s v="CUST0157"/>
        <s v="CUST0158"/>
        <s v="CUST0159"/>
        <s v="CUST0160"/>
        <s v="CUST0161"/>
        <s v="CUST0162"/>
        <s v="CUST0163"/>
        <s v="CUST0164"/>
        <s v="CUST0165"/>
        <s v="CUST0166"/>
        <s v="CUST0167"/>
        <s v="CUST0168"/>
        <s v="CUST0169"/>
        <s v="CUST0170"/>
        <s v="CUST0171"/>
        <s v="CUST0172"/>
        <s v="CUST0173"/>
        <s v="CUST0174"/>
        <s v="CUST0175"/>
        <s v="CUST0176"/>
        <s v="CUST0177"/>
        <s v="CUST0178"/>
        <s v="CUST0179"/>
        <s v="CUST0180"/>
        <s v="CUST0181"/>
        <s v="CUST0182"/>
        <s v="CUST0183"/>
        <s v="CUST0184"/>
        <s v="CUST0185"/>
        <s v="CUST0186"/>
        <s v="CUST0187"/>
        <s v="CUST0188"/>
        <s v="CUST0189"/>
        <s v="CUST0190"/>
        <s v="CUST0191"/>
        <s v="CUST0192"/>
        <s v="CUST0193"/>
        <s v="CUST0194"/>
        <s v="CUST0195"/>
        <s v="CUST0196"/>
        <s v="CUST0197"/>
        <s v="CUST0198"/>
        <s v="CUST0199"/>
        <s v="CUST0200"/>
        <s v="CUST0201"/>
        <s v="CUST0202"/>
        <s v="CUST0203"/>
        <s v="CUST0204"/>
        <s v="CUST0205"/>
        <s v="CUST0206"/>
        <s v="CUST0207"/>
        <s v="CUST0208"/>
        <s v="CUST0209"/>
        <s v="CUST0210"/>
        <s v="CUST0211"/>
        <s v="CUST0212"/>
        <s v="CUST0213"/>
        <s v="CUST0214"/>
        <s v="CUST0215"/>
        <s v="CUST0216"/>
        <s v="CUST0217"/>
        <s v="CUST0218"/>
        <s v="CUST0219"/>
        <s v="CUST0220"/>
        <s v="CUST0221"/>
        <s v="CUST0222"/>
        <s v="CUST0223"/>
        <s v="CUST0224"/>
        <s v="CUST0225"/>
        <s v="CUST0226"/>
        <s v="CUST0227"/>
        <s v="CUST0228"/>
        <s v="CUST0229"/>
        <s v="CUST0230"/>
        <s v="CUST0231"/>
        <s v="CUST0232"/>
        <s v="CUST0233"/>
        <s v="CUST0234"/>
        <s v="CUST0235"/>
        <s v="CUST0236"/>
        <s v="CUST0237"/>
        <s v="CUST0238"/>
        <s v="CUST0239"/>
        <s v="CUST0240"/>
        <s v="CUST0241"/>
        <s v="CUST0242"/>
        <s v="CUST0243"/>
        <s v="CUST0244"/>
        <s v="CUST0245"/>
        <s v="CUST0246"/>
        <s v="CUST0247"/>
        <s v="CUST0248"/>
        <s v="CUST0249"/>
        <s v="CUST0250"/>
        <s v="CUST0251"/>
        <s v="CUST0252"/>
        <s v="CUST0253"/>
        <s v="CUST0254"/>
        <s v="CUST0255"/>
        <s v="CUST0256"/>
        <s v="CUST0257"/>
        <s v="CUST0258"/>
        <s v="CUST0259"/>
        <s v="CUST0260"/>
        <s v="CUST0261"/>
        <s v="CUST0262"/>
        <s v="CUST0263"/>
        <s v="CUST0264"/>
        <s v="CUST0265"/>
        <s v="CUST0266"/>
        <s v="CUST0267"/>
        <s v="CUST0268"/>
        <s v="CUST0269"/>
        <s v="CUST0270"/>
        <s v="CUST0271"/>
        <s v="CUST0272"/>
        <s v="CUST0273"/>
        <s v="CUST0274"/>
        <s v="CUST0275"/>
        <s v="CUST0276"/>
        <s v="CUST0277"/>
        <s v="CUST0278"/>
        <s v="CUST0279"/>
        <s v="CUST0280"/>
        <s v="CUST0281"/>
        <s v="CUST0282"/>
        <s v="CUST0283"/>
        <s v="CUST0284"/>
        <s v="CUST0285"/>
        <s v="CUST0286"/>
        <s v="CUST0287"/>
        <s v="CUST0288"/>
        <s v="CUST0289"/>
        <s v="CUST0290"/>
        <s v="CUST0291"/>
        <s v="CUST0292"/>
        <s v="CUST0293"/>
        <s v="CUST0294"/>
        <s v="CUST0295"/>
        <s v="CUST0296"/>
        <s v="CUST0297"/>
        <s v="CUST0298"/>
        <s v="CUST0299"/>
        <s v="CUST0300"/>
        <s v="CUST0301"/>
        <s v="CUST0302"/>
        <s v="CUST0303"/>
        <s v="CUST0304"/>
        <s v="CUST0305"/>
        <s v="CUST0306"/>
        <s v="CUST0307"/>
        <s v="CUST0308"/>
        <s v="CUST0309"/>
        <s v="CUST0310"/>
        <s v="CUST0311"/>
        <s v="CUST0312"/>
        <s v="CUST0313"/>
        <s v="CUST0314"/>
        <s v="CUST0315"/>
        <s v="CUST0316"/>
        <s v="CUST0317"/>
        <s v="CUST0318"/>
        <s v="CUST0319"/>
        <s v="CUST0320"/>
        <s v="CUST0321"/>
        <s v="CUST0322"/>
        <s v="CUST0323"/>
        <s v="CUST0324"/>
        <s v="CUST0325"/>
        <s v="CUST0326"/>
        <s v="CUST0327"/>
        <s v="CUST0328"/>
        <s v="CUST0329"/>
        <s v="CUST0330"/>
        <s v="CUST0331"/>
        <s v="CUST0332"/>
        <s v="CUST0333"/>
        <s v="CUST0334"/>
        <s v="CUST0335"/>
        <s v="CUST0336"/>
        <s v="CUST0337"/>
        <s v="CUST0338"/>
        <s v="CUST0339"/>
        <s v="CUST0340"/>
        <s v="CUST0341"/>
        <s v="CUST0342"/>
        <s v="CUST0343"/>
        <s v="CUST0344"/>
        <s v="CUST0345"/>
        <s v="CUST0346"/>
        <s v="CUST0347"/>
        <s v="CUST0348"/>
        <s v="CUST0349"/>
        <s v="CUST0350"/>
        <s v="CUST0351"/>
        <s v="CUST0352"/>
        <s v="CUST0353"/>
        <s v="CUST0354"/>
        <s v="CUST0355"/>
        <s v="CUST0356"/>
        <s v="CUST0357"/>
        <s v="CUST0358"/>
        <s v="CUST0359"/>
        <s v="CUST0360"/>
        <s v="CUST0361"/>
        <s v="CUST0362"/>
        <s v="CUST0363"/>
        <s v="CUST0364"/>
        <s v="CUST0365"/>
        <s v="CUST0366"/>
        <s v="CUST0367"/>
        <s v="CUST0368"/>
        <s v="CUST0369"/>
        <s v="CUST0370"/>
        <s v="CUST0371"/>
        <s v="CUST0372"/>
        <s v="CUST0373"/>
        <s v="CUST0374"/>
        <s v="CUST0375"/>
        <s v="CUST0376"/>
        <s v="CUST0377"/>
        <s v="CUST0378"/>
        <s v="CUST0379"/>
        <s v="CUST0380"/>
        <s v="CUST0381"/>
        <s v="CUST0382"/>
        <s v="CUST0383"/>
        <s v="CUST0384"/>
        <s v="CUST0385"/>
        <s v="CUST0386"/>
        <s v="CUST0387"/>
        <s v="CUST0388"/>
        <s v="CUST0389"/>
        <s v="CUST0390"/>
        <s v="CUST0391"/>
        <s v="CUST0392"/>
        <s v="CUST0393"/>
        <s v="CUST0394"/>
        <s v="CUST0395"/>
        <s v="CUST0396"/>
        <s v="CUST0397"/>
        <s v="CUST0398"/>
        <s v="CUST0399"/>
        <s v="CUST0400"/>
        <s v="CUST0401"/>
        <s v="CUST0402"/>
        <s v="CUST0403"/>
        <s v="CUST0404"/>
        <s v="CUST0405"/>
        <s v="CUST0406"/>
        <s v="CUST0407"/>
        <s v="CUST0408"/>
        <s v="CUST0409"/>
        <s v="CUST0410"/>
        <s v="CUST0411"/>
        <s v="CUST0412"/>
        <s v="CUST0413"/>
        <s v="CUST0414"/>
        <s v="CUST0415"/>
        <s v="CUST0416"/>
        <s v="CUST0417"/>
        <s v="CUST0418"/>
        <s v="CUST0419"/>
        <s v="CUST0420"/>
        <s v="CUST0421"/>
        <s v="CUST0422"/>
        <s v="CUST0423"/>
        <s v="CUST0424"/>
        <s v="CUST0425"/>
        <s v="CUST0426"/>
        <s v="CUST0427"/>
        <s v="CUST0428"/>
        <s v="CUST0429"/>
        <s v="CUST0430"/>
        <s v="CUST0431"/>
        <s v="CUST0432"/>
        <s v="CUST0433"/>
        <s v="CUST0434"/>
        <s v="CUST0435"/>
        <s v="CUST0436"/>
        <s v="CUST0437"/>
        <s v="CUST0438"/>
        <s v="CUST0439"/>
        <s v="CUST0440"/>
        <s v="CUST0441"/>
        <s v="CUST0442"/>
        <s v="CUST0443"/>
        <s v="CUST0444"/>
        <s v="CUST0445"/>
        <s v="CUST0446"/>
        <s v="CUST0447"/>
        <s v="CUST0448"/>
        <s v="CUST0449"/>
        <s v="CUST0450"/>
        <s v="CUST0451"/>
        <s v="CUST0452"/>
        <s v="CUST0453"/>
        <s v="CUST0454"/>
        <s v="CUST0455"/>
        <s v="CUST0456"/>
        <s v="CUST0457"/>
        <s v="CUST0458"/>
        <s v="CUST0459"/>
        <s v="CUST0460"/>
        <s v="CUST0461"/>
        <s v="CUST0462"/>
        <s v="CUST0463"/>
        <s v="CUST0464"/>
        <s v="CUST0465"/>
        <s v="CUST0466"/>
        <s v="CUST0467"/>
        <s v="CUST0468"/>
        <s v="CUST0469"/>
        <s v="CUST0470"/>
        <s v="CUST0471"/>
        <s v="CUST0472"/>
        <s v="CUST0473"/>
        <s v="CUST0474"/>
        <s v="CUST0475"/>
        <s v="CUST0476"/>
        <s v="CUST0477"/>
        <s v="CUST0478"/>
        <s v="CUST0479"/>
        <s v="CUST0480"/>
        <s v="CUST0481"/>
        <s v="CUST0482"/>
        <s v="CUST0483"/>
        <s v="CUST0484"/>
        <s v="CUST0485"/>
        <s v="CUST0486"/>
        <s v="CUST0487"/>
        <s v="CUST0488"/>
        <s v="CUST0489"/>
        <s v="CUST0490"/>
        <s v="CUST0491"/>
        <s v="CUST0492"/>
        <s v="CUST0493"/>
        <s v="CUST0494"/>
        <s v="CUST0495"/>
        <s v="CUST0496"/>
        <s v="CUST0497"/>
        <s v="CUST0498"/>
        <s v="CUST0499"/>
        <s v="CUST0500"/>
      </sharedItems>
    </cacheField>
    <cacheField name="Age" numFmtId="0">
      <sharedItems containsSemiMixedTypes="0" containsString="0" containsNumber="1" containsInteger="1" minValue="18" maxValue="74"/>
    </cacheField>
    <cacheField name="Income" numFmtId="0">
      <sharedItems containsString="0" containsBlank="1" containsNumber="1" containsInteger="1" minValue="15404" maxValue="199943"/>
    </cacheField>
    <cacheField name="Credit_Score" numFmtId="0">
      <sharedItems containsString="0" containsBlank="1" containsNumber="1" containsInteger="1" minValue="301" maxValue="847"/>
    </cacheField>
    <cacheField name="Credit_Utilization" numFmtId="0">
      <sharedItems containsSemiMixedTypes="0" containsString="0" containsNumber="1" minValue="0.05" maxValue="1.0258425262600499"/>
    </cacheField>
    <cacheField name="Missed_Payments" numFmtId="0">
      <sharedItems containsSemiMixedTypes="0" containsString="0" containsNumber="1" containsInteger="1" minValue="0" maxValue="6" count="7">
        <n v="3"/>
        <n v="6"/>
        <n v="0"/>
        <n v="2"/>
        <n v="5"/>
        <n v="4"/>
        <n v="1"/>
      </sharedItems>
    </cacheField>
    <cacheField name="Delinquent_Account" numFmtId="0">
      <sharedItems containsSemiMixedTypes="0" containsString="0" containsNumber="1" containsInteger="1" minValue="0" maxValue="1" count="2">
        <n v="0"/>
        <n v="1"/>
      </sharedItems>
    </cacheField>
    <cacheField name="Loan_Balance" numFmtId="0">
      <sharedItems containsString="0" containsBlank="1" containsNumber="1" containsInteger="1" minValue="612" maxValue="99620"/>
    </cacheField>
    <cacheField name="Debt_to_Income_Ratio" numFmtId="0">
      <sharedItems containsSemiMixedTypes="0" containsString="0" containsNumber="1" minValue="0.1" maxValue="0.55295645054628195"/>
    </cacheField>
    <cacheField name="Employment_Status" numFmtId="0">
      <sharedItems/>
    </cacheField>
    <cacheField name="Account_Tenure" numFmtId="0">
      <sharedItems containsSemiMixedTypes="0" containsString="0" containsNumber="1" containsInteger="1" minValue="0" maxValue="19"/>
    </cacheField>
    <cacheField name="Credit_Card_Type" numFmtId="0">
      <sharedItems/>
    </cacheField>
    <cacheField name="Location" numFmtId="0">
      <sharedItems/>
    </cacheField>
    <cacheField name="Month_1" numFmtId="0">
      <sharedItems/>
    </cacheField>
    <cacheField name="Month_2" numFmtId="0">
      <sharedItems/>
    </cacheField>
    <cacheField name="Month_3" numFmtId="0">
      <sharedItems/>
    </cacheField>
    <cacheField name="Month_4" numFmtId="0">
      <sharedItems/>
    </cacheField>
    <cacheField name="Month_5" numFmtId="0">
      <sharedItems/>
    </cacheField>
    <cacheField name="Month_6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hnavi j" refreshedDate="46315.538760995369" createdVersion="8" refreshedVersion="8" minRefreshableVersion="3" recordCount="501" xr:uid="{312DF5FD-E435-4E84-A3E0-144227C55EA9}">
  <cacheSource type="worksheet">
    <worksheetSource ref="A1:W1048576" sheet="Cleaned_Data"/>
  </cacheSource>
  <cacheFields count="23">
    <cacheField name="Customer_ID" numFmtId="0">
      <sharedItems containsBlank="1"/>
    </cacheField>
    <cacheField name="Age" numFmtId="0">
      <sharedItems containsString="0" containsBlank="1" containsNumber="1" containsInteger="1" minValue="18" maxValue="74"/>
    </cacheField>
    <cacheField name="Income" numFmtId="0">
      <sharedItems containsString="0" containsBlank="1" containsNumber="1" containsInteger="1" minValue="15404" maxValue="199943" count="272">
        <n v="165580"/>
        <n v="100999"/>
        <n v="188416"/>
        <n v="101672"/>
        <n v="38524"/>
        <n v="84042"/>
        <n v="35056"/>
        <n v="123215"/>
        <n v="66991"/>
        <n v="34870"/>
        <n v="42532"/>
        <n v="70479"/>
        <n v="56975"/>
        <n v="117023"/>
        <n v="143148"/>
        <n v="159356"/>
        <n v="146484"/>
        <n v="183152"/>
        <n v="81040"/>
        <n v="181319"/>
        <n v="199402"/>
        <n v="40351"/>
        <n v="154487"/>
        <n v="108468"/>
        <n v="41646"/>
        <n v="193998"/>
        <n v="89740"/>
        <n v="136790"/>
        <n v="86726"/>
        <n v="88523"/>
        <n v="72458"/>
        <n v="60106"/>
        <n v="106362"/>
        <n v="99076"/>
        <n v="69693"/>
        <n v="137402"/>
        <n v="53756"/>
        <n v="97750"/>
        <n v="107658"/>
        <n v="81617"/>
        <n v="106267"/>
        <n v="59238"/>
        <n v="153311"/>
        <n v="146800"/>
        <n v="118033"/>
        <n v="169865"/>
        <n v="109074"/>
        <n v="185806"/>
        <n v="194819"/>
        <n v="90353"/>
        <n v="198401"/>
        <n v="76629"/>
        <n v="107193"/>
        <n v="140899"/>
        <n v="184160"/>
        <n v="155507"/>
        <n v="43251"/>
        <n v="117634"/>
        <n v="172164"/>
        <n v="196415"/>
        <n v="159572"/>
        <n v="136465"/>
        <n v="36447"/>
        <n v="159188"/>
        <n v="181267"/>
        <n v="59425"/>
        <n v="97844"/>
        <n v="115235"/>
        <n v="189358"/>
        <n v="88847"/>
        <n v="172504"/>
        <n v="186230"/>
        <n v="80215"/>
        <n v="141131"/>
        <n v="129585"/>
        <n v="127856"/>
        <n v="18709"/>
        <n v="121357"/>
        <n v="152326"/>
        <n v="189197"/>
        <n v="54298"/>
        <n v="106007"/>
        <n v="155734"/>
        <n v="163216"/>
        <n v="178165"/>
        <n v="127816"/>
        <n v="19748"/>
        <n v="170026"/>
        <n v="43732"/>
        <n v="16015"/>
        <n v="138961"/>
        <n v="121884"/>
        <n v="19835"/>
        <n v="84724"/>
        <n v="125448"/>
        <n v="134156"/>
        <n v="190333"/>
        <n v="125226"/>
        <n v="80953"/>
        <n v="129692"/>
        <n v="90880"/>
        <n v="118081"/>
        <n v="115497"/>
        <n v="166836"/>
        <n v="187627"/>
        <n v="73141"/>
        <n v="180983"/>
        <n v="168772"/>
        <n v="16252"/>
        <n v="118333"/>
        <n v="192247"/>
        <n v="199294"/>
        <n v="129548"/>
        <n v="58088"/>
        <n v="30485"/>
        <n v="77292"/>
        <n v="41790"/>
        <n v="31364"/>
        <n v="15404"/>
        <n v="32955"/>
        <n v="53513"/>
        <n v="97986"/>
        <n v="116570"/>
        <n v="119185"/>
        <n v="21801"/>
        <n v="54081"/>
        <n v="74494"/>
        <n v="117795"/>
        <n v="21970"/>
        <n v="185883"/>
        <n v="150230"/>
        <n v="38959"/>
        <n v="101188"/>
        <n v="47217"/>
        <n v="76476"/>
        <n v="108610"/>
        <n v="182280"/>
        <n v="149415"/>
        <n v="120616"/>
        <n v="199943"/>
        <n v="178551"/>
        <n v="68932"/>
        <n v="23702"/>
        <n v="67528"/>
        <n v="162851"/>
        <n v="183513"/>
        <n v="42192"/>
        <n v="32019"/>
        <n v="67638"/>
        <n v="153429"/>
        <n v="141020"/>
        <n v="69098"/>
        <n v="62295"/>
        <n v="164143"/>
        <n v="143778"/>
        <n v="166456"/>
        <n v="165159"/>
        <n v="40934"/>
        <n v="84836"/>
        <n v="191517"/>
        <n v="38289"/>
        <n v="72108"/>
        <n v="187312"/>
        <n v="146456"/>
        <n v="52131"/>
        <n v="88963"/>
        <n v="20569"/>
        <n v="150683"/>
        <n v="191615"/>
        <n v="70284"/>
        <n v="85390"/>
        <n v="74101"/>
        <n v="178273"/>
        <n v="61540"/>
        <n v="170576"/>
        <n v="114657"/>
        <n v="76813"/>
        <n v="48307"/>
        <n v="193677"/>
        <n v="186334"/>
        <n v="74163"/>
        <n v="102235"/>
        <n v="27763"/>
        <n v="39285"/>
        <n v="98042"/>
        <n v="116042"/>
        <n v="95219"/>
        <n v="109456"/>
        <n v="93752"/>
        <n v="42350"/>
        <n v="142016"/>
        <n v="16062"/>
        <n v="75692"/>
        <n v="158087"/>
        <n v="53765"/>
        <n v="198062"/>
        <n v="38049"/>
        <n v="166222"/>
        <n v="193031"/>
        <n v="54749"/>
        <n v="65990"/>
        <n v="68682"/>
        <n v="38061"/>
        <n v="81234"/>
        <n v="119573"/>
        <n v="53494"/>
        <n v="90697"/>
        <n v="176426"/>
        <n v="194208"/>
        <n v="120891"/>
        <n v="33017"/>
        <n v="70393"/>
        <n v="193352"/>
        <n v="179506"/>
        <n v="26174"/>
        <n v="85640"/>
        <n v="120570"/>
        <n v="18267"/>
        <n v="112007"/>
        <n v="99665"/>
        <n v="167424"/>
        <n v="98613"/>
        <n v="52744"/>
        <n v="36677"/>
        <n v="180421"/>
        <n v="21949"/>
        <n v="59811"/>
        <n v="28807"/>
        <n v="101900"/>
        <n v="109297"/>
        <n v="53304"/>
        <n v="173427"/>
        <n v="140917"/>
        <n v="96317"/>
        <n v="93832"/>
        <n v="31896"/>
        <n v="72043"/>
        <n v="57318"/>
        <n v="161377"/>
        <n v="167617"/>
        <n v="71570"/>
        <n v="130359"/>
        <n v="58919"/>
        <n v="126888"/>
        <n v="73243"/>
        <n v="104588"/>
        <n v="129821"/>
        <n v="25916"/>
        <n v="127566"/>
        <n v="33888"/>
        <n v="152162"/>
        <n v="51187"/>
        <n v="108396"/>
        <n v="65612"/>
        <n v="75566"/>
        <n v="177993"/>
        <n v="134180"/>
        <n v="64922"/>
        <n v="24435"/>
        <n v="155932"/>
        <n v="169786"/>
        <n v="87474"/>
        <n v="59482"/>
        <n v="147396"/>
        <n v="188420"/>
        <n v="153877"/>
        <n v="54954"/>
        <n v="168487"/>
        <n v="86180"/>
        <n v="105852"/>
        <n v="40945"/>
        <m/>
      </sharedItems>
      <fieldGroup base="2">
        <rangePr startNum="15404" endNum="199943" groupInterval="10000"/>
        <groupItems count="21">
          <s v="(blank)"/>
          <s v="15404-25403"/>
          <s v="25404-35403"/>
          <s v="35404-45403"/>
          <s v="45404-55403"/>
          <s v="55404-65403"/>
          <s v="65404-75403"/>
          <s v="75404-85403"/>
          <s v="85404-95403"/>
          <s v="95404-105403"/>
          <s v="105404-115403"/>
          <s v="115404-125403"/>
          <s v="125404-135403"/>
          <s v="135404-145403"/>
          <s v="145404-155403"/>
          <s v="155404-165403"/>
          <s v="165404-175403"/>
          <s v="175404-185403"/>
          <s v="185404-195403"/>
          <s v="195404-205403"/>
          <s v="&gt;205404"/>
        </groupItems>
      </fieldGroup>
    </cacheField>
    <cacheField name="Credit_Score" numFmtId="0">
      <sharedItems containsString="0" containsBlank="1" containsNumber="1" containsInteger="1" minValue="301" maxValue="847" count="236">
        <n v="398"/>
        <n v="493"/>
        <n v="500"/>
        <n v="413"/>
        <n v="487"/>
        <n v="700"/>
        <n v="354"/>
        <n v="415"/>
        <n v="405"/>
        <n v="679"/>
        <n v="340"/>
        <n v="320"/>
        <n v="528"/>
        <n v="617"/>
        <n v="601"/>
        <n v="543"/>
        <n v="823"/>
        <n v="831"/>
        <n v="486"/>
        <n v="783"/>
        <n v="690"/>
        <n v="321"/>
        <n v="538"/>
        <n v="847"/>
        <n v="515"/>
        <n v="789"/>
        <n v="525"/>
        <n v="588"/>
        <n v="523"/>
        <n v="374"/>
        <n v="385"/>
        <n v="806"/>
        <n v="440"/>
        <n v="316"/>
        <n v="464"/>
        <n v="521"/>
        <n v="467"/>
        <n v="352"/>
        <n v="372"/>
        <n v="359"/>
        <n v="792"/>
        <n v="751"/>
        <n v="401"/>
        <n v="326"/>
        <n v="637"/>
        <n v="691"/>
        <n v="469"/>
        <n v="336"/>
        <n v="383"/>
        <n v="339"/>
        <n v="711"/>
        <n v="715"/>
        <n v="673"/>
        <n v="843"/>
        <n v="826"/>
        <n v="475"/>
        <n v="801"/>
        <n v="739"/>
        <n v="773"/>
        <n v="815"/>
        <n v="612"/>
        <n v="600"/>
        <n v="796"/>
        <n v="822"/>
        <n v="797"/>
        <n v="371"/>
        <n v="567"/>
        <n v="448"/>
        <n v="835"/>
        <n v="542"/>
        <n v="611"/>
        <n v="577"/>
        <n v="728"/>
        <n v="427"/>
        <n v="824"/>
        <n v="686"/>
        <n v="820"/>
        <n v="572"/>
        <n v="680"/>
        <n v="458"/>
        <n v="361"/>
        <n v="664"/>
        <n v="444"/>
        <n v="439"/>
        <n v="648"/>
        <n v="306"/>
        <n v="742"/>
        <n v="639"/>
        <n v="495"/>
        <n v="563"/>
        <n v="429"/>
        <n v="474"/>
        <n v="332"/>
        <n v="725"/>
        <n v="586"/>
        <n v="629"/>
        <n v="655"/>
        <n v="644"/>
        <n v="584"/>
        <n v="526"/>
        <n v="623"/>
        <n v="522"/>
        <n v="800"/>
        <n v="693"/>
        <n v="777"/>
        <n v="781"/>
        <n v="766"/>
        <n v="717"/>
        <n v="388"/>
        <n v="441"/>
        <n v="346"/>
        <n v="387"/>
        <n v="505"/>
        <n v="402"/>
        <n v="794"/>
        <n v="414"/>
        <n v="694"/>
        <n v="681"/>
        <n v="757"/>
        <n v="302"/>
        <n v="328"/>
        <n v="524"/>
        <n v="718"/>
        <n v="805"/>
        <n v="566"/>
        <n v="319"/>
        <n v="670"/>
        <n v="391"/>
        <n v="457"/>
        <n v="604"/>
        <n v="310"/>
        <n v="677"/>
        <n v="818"/>
        <n v="407"/>
        <n v="788"/>
        <n v="447"/>
        <n v="446"/>
        <n v="638"/>
        <n v="605"/>
        <n v="811"/>
        <n v="301"/>
        <n v="836"/>
        <n v="610"/>
        <n v="709"/>
        <n v="701"/>
        <n v="618"/>
        <n v="776"/>
        <n v="682"/>
        <n v="825"/>
        <n v="768"/>
        <n v="565"/>
        <n v="535"/>
        <n v="753"/>
        <n v="659"/>
        <n v="696"/>
        <n v="561"/>
        <n v="345"/>
        <n v="363"/>
        <n v="731"/>
        <n v="729"/>
        <n v="749"/>
        <n v="380"/>
        <n v="412"/>
        <n v="337"/>
        <n v="663"/>
        <n v="635"/>
        <n v="544"/>
        <n v="608"/>
        <n v="350"/>
        <n v="341"/>
        <n v="445"/>
        <n v="534"/>
        <n v="669"/>
        <n v="736"/>
        <n v="762"/>
        <n v="423"/>
        <n v="421"/>
        <n v="418"/>
        <n v="622"/>
        <n v="452"/>
        <n v="724"/>
        <n v="482"/>
        <n v="579"/>
        <n v="658"/>
        <n v="315"/>
        <n v="436"/>
        <n v="793"/>
        <n v="834"/>
        <n v="591"/>
        <n v="595"/>
        <n v="307"/>
        <n v="494"/>
        <n v="419"/>
        <n v="557"/>
        <n v="625"/>
        <n v="471"/>
        <n v="358"/>
        <n v="461"/>
        <n v="556"/>
        <n v="498"/>
        <n v="627"/>
        <n v="541"/>
        <n v="465"/>
        <n v="416"/>
        <n v="311"/>
        <n v="389"/>
        <n v="459"/>
        <n v="384"/>
        <n v="643"/>
        <n v="550"/>
        <n v="685"/>
        <n v="308"/>
        <n v="656"/>
        <n v="770"/>
        <n v="360"/>
        <n v="734"/>
        <n v="784"/>
        <n v="634"/>
        <n v="536"/>
        <n v="799"/>
        <n v="549"/>
        <n v="378"/>
        <n v="462"/>
        <n v="338"/>
        <n v="758"/>
        <n v="837"/>
        <n v="580"/>
        <n v="845"/>
        <n v="813"/>
        <n v="754"/>
        <n v="508"/>
        <n v="665"/>
        <n v="688"/>
        <n v="343"/>
        <n v="442"/>
        <m/>
      </sharedItems>
      <fieldGroup base="3">
        <rangePr startNum="301" endNum="847" groupInterval="100"/>
        <groupItems count="8">
          <s v="(blank)"/>
          <s v="301-400"/>
          <s v="401-500"/>
          <s v="501-600"/>
          <s v="601-700"/>
          <s v="701-800"/>
          <s v="801-900"/>
          <s v="&gt;901"/>
        </groupItems>
      </fieldGroup>
    </cacheField>
    <cacheField name="Credit_Utilization" numFmtId="0">
      <sharedItems containsString="0" containsBlank="1" containsNumber="1" minValue="0.05" maxValue="1.0258425262600499" count="493">
        <n v="0.39050192860023702"/>
        <n v="0.31244403322601699"/>
        <n v="0.359930238508409"/>
        <n v="0.37140035530382398"/>
        <n v="0.23471586262820099"/>
        <n v="0.65054042971452497"/>
        <n v="0.39058094052257902"/>
        <n v="0.53271466711773097"/>
        <n v="0.41303484761795101"/>
        <n v="0.361823917542758"/>
        <n v="0.83445584721736998"/>
        <n v="0.684586436441881"/>
        <n v="0.12635992000897101"/>
        <n v="0.105172510332822"/>
        <n v="0.70852176712729698"/>
        <n v="0.39602932169024901"/>
        <n v="0.17018353321315499"/>
        <n v="0.70914702650806805"/>
        <n v="0.53382481001981796"/>
        <n v="0.55031421696646299"/>
        <n v="0.66190785440118105"/>
        <n v="0.23800456834352099"/>
        <n v="0.173699835723167"/>
        <n v="0.81619085898064003"/>
        <n v="0.212566647851541"/>
        <n v="0.25555244058488702"/>
        <n v="0.29551292409084601"/>
        <n v="0.91598918473810398"/>
        <n v="0.59867666008230402"/>
        <n v="0.69308159488707599"/>
        <n v="0.53923350911574497"/>
        <n v="0.37962255775975301"/>
        <n v="0.62625825665203305"/>
        <n v="0.18867680584063901"/>
        <n v="0.28094330958070102"/>
        <n v="0.64659503585229605"/>
        <n v="0.22854895383464299"/>
        <n v="0.462183706167625"/>
        <n v="0.47129753112891698"/>
        <n v="0.394267599332567"/>
        <n v="0.10977630503022801"/>
        <n v="0.37421422176226099"/>
        <n v="0.33500632461350199"/>
        <n v="0.53228797265753902"/>
        <n v="0.52209810773989296"/>
        <n v="0.57559229198737405"/>
        <n v="0.36480274540511998"/>
        <n v="0.60455559009317805"/>
        <n v="0.188798653445263"/>
        <n v="0.13561905346952899"/>
        <n v="0.05"/>
        <n v="0.40014055208560001"/>
        <n v="0.34934035513228801"/>
        <n v="0.65786312237092004"/>
        <n v="0.37026748259022602"/>
        <n v="0.55467526958885305"/>
        <n v="0.66265931531661504"/>
        <n v="0.362736184870176"/>
        <n v="0.55961044202143495"/>
        <n v="0.70038550979103897"/>
        <n v="0.25236744503888597"/>
        <n v="0.50497046764892795"/>
        <n v="0.36359312336013699"/>
        <n v="0.26510202350137202"/>
        <n v="0.19270965190195399"/>
        <n v="0.26187028556425901"/>
        <n v="0.51200580115040195"/>
        <n v="0.17783110888765"/>
        <n v="0.389854595182272"/>
        <n v="0.66263888137057902"/>
        <n v="0.58980219268378697"/>
        <n v="0.393898475412368"/>
        <n v="0.83793808267174397"/>
        <n v="0.87860728278233202"/>
        <n v="0.50522448630794503"/>
        <n v="0.67728963940325104"/>
        <n v="0.79522922214401304"/>
        <n v="0.71671698014845897"/>
        <n v="0.85484250082760405"/>
        <n v="0.55205311167354498"/>
        <n v="0.42772284656363202"/>
        <n v="0.40997977326195501"/>
        <n v="0.39074796579381998"/>
        <n v="0.69621373073493997"/>
        <n v="0.64245429790117503"/>
        <n v="0.524045126686842"/>
        <n v="0.35556373841460498"/>
        <n v="1.0258425262600499"/>
        <n v="0.68247492279257305"/>
        <n v="0.18045761604531799"/>
        <n v="0.39674879681257402"/>
        <n v="0.68635521948174105"/>
        <n v="0.34009221575346299"/>
        <n v="0.57030959176517704"/>
        <n v="0.69015926006722905"/>
        <n v="0.47839246004214903"/>
        <n v="0.48624183071302401"/>
        <n v="0.41758550886324203"/>
        <n v="0.56033902698920801"/>
        <n v="0.631503921499174"/>
        <n v="0.52841018886492097"/>
        <n v="0.42523452119011301"/>
        <n v="0.62652425995685301"/>
        <n v="0.509810681854871"/>
        <n v="0.45385991736090397"/>
        <n v="0.237544122932216"/>
        <n v="0.18746904294678399"/>
        <n v="0.23375404145718501"/>
        <n v="0.55566581224404299"/>
        <n v="0.48418425047872898"/>
        <n v="0.203943180358507"/>
        <n v="0.62918356515876195"/>
        <n v="0.774861902635819"/>
        <n v="0.38030127665673202"/>
        <n v="0.15180362852632501"/>
        <n v="0.358174723019617"/>
        <n v="0.67089212535893805"/>
        <n v="0.60970597170695395"/>
        <n v="0.31551346279770398"/>
        <n v="0.80423442755294805"/>
        <n v="0.76965601318527899"/>
        <n v="0.35339878734467101"/>
        <n v="0.351341999407006"/>
        <n v="0.38143441252410198"/>
        <n v="0.39853344492228998"/>
        <n v="0.69010760158568796"/>
        <n v="0.58506581209531805"/>
        <n v="0.67541575387011699"/>
        <n v="0.63471302863734003"/>
        <n v="0.84290541363874605"/>
        <n v="0.28812289123817098"/>
        <n v="0.57607170607678304"/>
        <n v="6.5235748753060402E-2"/>
        <n v="0.236608885180628"/>
        <n v="0.48502932281303002"/>
        <n v="0.58364132255090695"/>
        <n v="0.47963685159408598"/>
        <n v="0.38656151623746399"/>
        <n v="0.42211642450139197"/>
        <n v="0.77388819528482"/>
        <n v="0.42319356442397099"/>
        <n v="0.84984832440870495"/>
        <n v="0.65880341470822601"/>
        <n v="0.59150746922964603"/>
        <n v="0.26128061793579999"/>
        <n v="0.68704763227992505"/>
        <n v="0.40124588445030002"/>
        <n v="0.26111204839885999"/>
        <n v="0.60256872261587502"/>
        <n v="0.222410787886692"/>
        <n v="0.34755170757408299"/>
        <n v="0.49797681770621699"/>
        <n v="0.94368428482294497"/>
        <n v="0.36261684884150203"/>
        <n v="0.40835669613988401"/>
        <n v="0.64646901088432895"/>
        <n v="0.25234086232479003"/>
        <n v="0.58856127620418297"/>
        <n v="0.74118536152331704"/>
        <n v="0.43858102305777902"/>
        <n v="0.70523085627937299"/>
        <n v="0.55828998464236101"/>
        <n v="0.35386360723924298"/>
        <n v="0.46043906282069802"/>
        <n v="0.42404853200395098"/>
        <n v="0.482472348436704"/>
        <n v="0.53054357984396505"/>
        <n v="0.61763998699437095"/>
        <n v="0.60173364991742695"/>
        <n v="0.48053836224559399"/>
        <n v="0.19811561731864699"/>
        <n v="0.44485454950653402"/>
        <n v="0.47524208243781602"/>
        <n v="0.69522967161694105"/>
        <n v="0.49397690657998"/>
        <n v="0.55184360366865204"/>
        <n v="0.65861127613148496"/>
        <n v="0.74555045196386005"/>
        <n v="0.47539721532861701"/>
        <n v="0.51883588833608096"/>
        <n v="0.50200466044845005"/>
        <n v="0.39148020711378401"/>
        <n v="0.34617695531152198"/>
        <n v="0.284667813095134"/>
        <n v="0.14427383335803901"/>
        <n v="0.75103969689064998"/>
        <n v="0.53768320165948502"/>
        <n v="0.47481220541063301"/>
        <n v="0.35650296278378302"/>
        <n v="0.505955852646924"/>
        <n v="0.33040402446893302"/>
        <n v="0.53480371132411997"/>
        <n v="0.54914679658427001"/>
        <n v="0.327723259528651"/>
        <n v="0.32390760703551802"/>
        <n v="0.69243987091902304"/>
        <n v="0.48942800914173901"/>
        <n v="0.34379591414702099"/>
        <n v="0.42589873966209602"/>
        <n v="0.29788118265867802"/>
        <n v="0.48656328386761599"/>
        <n v="0.66632566153289297"/>
        <n v="0.49446586648114699"/>
        <n v="0.97272668873507695"/>
        <n v="0.58427191360980002"/>
        <n v="0.54599088956844199"/>
        <n v="0.31833957380683803"/>
        <n v="0.45229331063146599"/>
        <n v="0.34419723139326103"/>
        <n v="6.6870954319175197E-2"/>
        <n v="0.694852444425761"/>
        <n v="0.39770988888995301"/>
        <n v="0.34791998513333799"/>
        <n v="0.54211400679169297"/>
        <n v="0.60249991044430296"/>
        <n v="0.43584503341874398"/>
        <n v="0.49947966647819603"/>
        <n v="0.64923748146287996"/>
        <n v="0.42796128107801001"/>
        <n v="0.56046674835266597"/>
        <n v="0.168151076322169"/>
        <n v="0.25173620031444999"/>
        <n v="0.62110795561608001"/>
        <n v="0.24128827216654"/>
        <n v="0.54682750942265901"/>
        <n v="0.470600243560585"/>
        <n v="0.427106547495954"/>
        <n v="0.33430744620645397"/>
        <n v="0.68186800362107503"/>
        <n v="0.84597823090396695"/>
        <n v="0.56003843252003804"/>
        <n v="0.56449814313456304"/>
        <n v="0.36353387402850101"/>
        <n v="0.26078055363512398"/>
        <n v="0.492052219038765"/>
        <n v="0.30525007040838398"/>
        <n v="0.14547797433683499"/>
        <n v="0.66068916247311604"/>
        <n v="0.67043335765036605"/>
        <n v="0.32823224540938101"/>
        <n v="0.54879286425584795"/>
        <n v="0.70039045355835305"/>
        <n v="0.541005337412375"/>
        <n v="0.26136907078025301"/>
        <n v="0.45342131735258001"/>
        <n v="0.765361884008398"/>
        <n v="0.54940532872102199"/>
        <n v="0.607826420636561"/>
        <n v="0.56832584387382201"/>
        <n v="0.328897728404349"/>
        <n v="0.37583095614347101"/>
        <n v="0.56777303141034796"/>
        <n v="0.66337435600408101"/>
        <n v="0.71998099018357598"/>
        <n v="0.32837889104636098"/>
        <n v="0.58662410693543798"/>
        <n v="0.73740882234379501"/>
        <n v="0.30258364594239501"/>
        <n v="0.79734942715995405"/>
        <n v="0.82778816546883704"/>
        <n v="1.0250172679243299"/>
        <n v="0.54618668816599802"/>
        <n v="0.547284935252489"/>
        <n v="0.66539887782346296"/>
        <n v="0.65956053460988295"/>
        <n v="0.72527337219912102"/>
        <n v="0.65680663609302004"/>
        <n v="0.47878761819239202"/>
        <n v="0.74439942419469995"/>
        <n v="0.28574917006145401"/>
        <n v="0.50117046734507498"/>
        <n v="0.81274712320995901"/>
        <n v="0.249950700375936"/>
        <n v="0.36450486860056702"/>
        <n v="0.63434945821545796"/>
        <n v="0.57878239464723003"/>
        <n v="0.324994918468751"/>
        <n v="0.416761199453971"/>
        <n v="0.26384358746993197"/>
        <n v="0.696096999904114"/>
        <n v="0.44882372846589302"/>
        <n v="0.85843118215212599"/>
        <n v="0.51622004880800398"/>
        <n v="0.456051939319424"/>
        <n v="0.43663564774163999"/>
        <n v="0.45116003296151402"/>
        <n v="0.52216421902676002"/>
        <n v="1.0024815153156601"/>
        <n v="0.43222806598012797"/>
        <n v="0.43872930784573799"/>
        <n v="0.51311876913663501"/>
        <n v="0.71805490126885196"/>
        <n v="0.21580308778544399"/>
        <n v="0.59101854738192905"/>
        <n v="0.33651496479576698"/>
        <n v="0.61065453779018897"/>
        <n v="0.40124801152790801"/>
        <n v="0.57391552053749695"/>
        <n v="0.57222895406937302"/>
        <n v="0.38418393830411401"/>
        <n v="0.372331227971399"/>
        <n v="0.237725454982469"/>
        <n v="0.65461998830777401"/>
        <n v="0.67644315649336095"/>
        <n v="0.32418982296482202"/>
        <n v="0.392013108092229"/>
        <n v="0.48734217577220701"/>
        <n v="0.95417305620710902"/>
        <n v="0.60902434951778595"/>
        <n v="0.31131689699832399"/>
        <n v="0.56075606189810101"/>
        <n v="0.224661691872383"/>
        <n v="0.64359806198323399"/>
        <n v="0.83510947870889696"/>
        <n v="0.83595833701679101"/>
        <n v="0.64697870069486696"/>
        <n v="0.38331752882637399"/>
        <n v="0.23981964869717401"/>
        <n v="0.21995899132617799"/>
        <n v="0.63877115260158401"/>
        <n v="0.47943289595512001"/>
        <n v="0.68184323329062502"/>
        <n v="0.78560629704695695"/>
        <n v="0.51998110878048198"/>
        <n v="0.52919232194263"/>
        <n v="0.407135931100506"/>
        <n v="0.43078311656551799"/>
        <n v="0.64569398249458598"/>
        <n v="0.46512499392693701"/>
        <n v="0.43619846664943501"/>
        <n v="0.49633662811142898"/>
        <n v="0.67726603921231798"/>
        <n v="0.36146768843397897"/>
        <n v="0.486694296489593"/>
        <n v="0.54905556755568596"/>
        <n v="0.73204438071704703"/>
        <n v="0.452140644640116"/>
        <n v="0.35643532278965501"/>
        <n v="0.40312781114552798"/>
        <n v="0.71061148660307505"/>
        <n v="0.906661059720693"/>
        <n v="0.23724843726279299"/>
        <n v="0.28093967698602801"/>
        <n v="0.46624064265956999"/>
        <n v="0.522191219213608"/>
        <n v="0.65739391311099904"/>
        <n v="0.32177339827970203"/>
        <n v="0.287378192670107"/>
        <n v="0.52761743062672595"/>
        <n v="0.44831985595856599"/>
        <n v="0.68534419955430503"/>
        <n v="0.59747196063807595"/>
        <n v="0.61107586952664295"/>
        <n v="0.47910373072462598"/>
        <n v="0.97111605171364102"/>
        <n v="0.33245040368124801"/>
        <n v="0.62216196675095503"/>
        <n v="0.246062002585378"/>
        <n v="0.285306464452109"/>
        <n v="0.37853088024690901"/>
        <n v="0.82586466732360497"/>
        <n v="0.55277888609080295"/>
        <n v="0.381904386291124"/>
        <n v="0.57488726519091404"/>
        <n v="0.50702957628490097"/>
        <n v="0.40160532617217598"/>
        <n v="0.22067422884235399"/>
        <n v="0.78770849690245803"/>
        <n v="0.54196362574200796"/>
        <n v="0.93474767469364695"/>
        <n v="0.68806432410817597"/>
        <n v="0.61026394495220804"/>
        <n v="0.41295913427660602"/>
        <n v="0.28093088722861598"/>
        <n v="0.45645380310230999"/>
        <n v="0.27514148115883302"/>
        <n v="0.63003807614615004"/>
        <n v="0.82653049953942603"/>
        <n v="0.44781754677657298"/>
        <n v="0.68889819447823897"/>
        <n v="0.36215418595662802"/>
        <n v="0.43950663235852899"/>
        <n v="0.33700720308691101"/>
        <n v="7.3373392985897901E-2"/>
        <n v="0.49269333001627702"/>
        <n v="0.52569034751955002"/>
        <n v="0.71317219975232704"/>
        <n v="0.65908765053385698"/>
        <n v="0.66179057980779898"/>
        <n v="0.30519275537642399"/>
        <n v="0.59189946121413795"/>
        <n v="0.81651879309631803"/>
        <n v="0.57597357014181605"/>
        <n v="0.86571872261299898"/>
        <n v="0.90379322222397196"/>
        <n v="0.44630634594167001"/>
        <n v="0.36061205098388499"/>
        <n v="0.34770756691620902"/>
        <n v="0.19677283597935499"/>
        <n v="0.39631942011689503"/>
        <n v="0.741533089951249"/>
        <n v="5.9192484949751899E-2"/>
        <n v="0.29250931985724998"/>
        <n v="0.4745737116696"/>
        <n v="0.32456295987565997"/>
        <n v="0.394542811151955"/>
        <n v="0.39753406511553901"/>
        <n v="0.44849195598765002"/>
        <n v="0.35410906077805199"/>
        <n v="0.33775735722889"/>
        <n v="0.68686194918424603"/>
        <n v="0.70993083557206904"/>
        <n v="0.223891330950518"/>
        <n v="0.712674969914186"/>
        <n v="0.25423991628957199"/>
        <n v="0.54254896769194705"/>
        <n v="0.186865625394356"/>
        <n v="0.75955099705193396"/>
        <n v="1.0087335790603"/>
        <n v="0.53656138184106705"/>
        <n v="0.48117947030809599"/>
        <n v="0.43557208496198702"/>
        <n v="0.65635986226258203"/>
        <n v="0.61353735018691702"/>
        <n v="0.70069969071057203"/>
        <n v="0.37441669548038298"/>
        <n v="0.56802354128092902"/>
        <n v="0.39150638665875998"/>
        <n v="0.28845687038598899"/>
        <n v="0.49179691579930701"/>
        <n v="0.315497453924583"/>
        <n v="0.73474539954851703"/>
        <n v="0.32761592439683501"/>
        <n v="0.57270918813747196"/>
        <n v="0.37931554024805503"/>
        <n v="0.55541255008750201"/>
        <n v="0.39520068530892799"/>
        <n v="0.24855774502849201"/>
        <n v="0.59675454819036899"/>
        <n v="0.452916875617355"/>
        <n v="0.55719698814449103"/>
        <n v="0.41423141287391202"/>
        <n v="0.234412697246309"/>
        <n v="0.71663571941125104"/>
        <n v="0.64735155108821696"/>
        <n v="0.38660780488935098"/>
        <n v="0.51395584269975902"/>
        <n v="0.70840389663258696"/>
        <n v="0.40859233282752"/>
        <n v="0.439623098961889"/>
        <n v="0.54872650000147405"/>
        <n v="0.408181787289082"/>
        <n v="0.671418399397404"/>
        <n v="0.46621984393851201"/>
        <n v="0.34319282500120502"/>
        <n v="0.62172776597479895"/>
        <n v="0.27157387011373002"/>
        <n v="0.90297571222484196"/>
        <n v="0.81649927271603995"/>
        <n v="0.60269909538420297"/>
        <n v="0.58586620436397996"/>
        <n v="0.57648828356385895"/>
        <n v="0.40218104281621803"/>
        <n v="0.55946192913616799"/>
        <n v="0.31537347790843001"/>
        <n v="0.60076368368803601"/>
        <n v="0.67356938860625903"/>
        <n v="0.424382779803333"/>
        <n v="0.38097964116905603"/>
        <n v="0.25750459507041801"/>
        <n v="0.79159104671313796"/>
        <n v="0.396867193231557"/>
        <n v="0.46025219279667501"/>
        <n v="0.56003111699914498"/>
        <n v="0.55644152857798601"/>
        <n v="0.64931201913621395"/>
        <n v="0.42413401603233403"/>
        <n v="0.272266412305817"/>
        <n v="0.23726693820553599"/>
        <n v="0.38414895343143002"/>
        <n v="0.30962990506507498"/>
        <n v="0.43927665893844797"/>
        <n v="0.76151576215199601"/>
        <n v="0.42454435882326202"/>
        <n v="0.424469827733088"/>
        <n v="0.49672024474884202"/>
        <n v="0.41887500175758602"/>
        <n v="0.48652175285636101"/>
        <n v="0.60817384449626899"/>
        <n v="0.67695021095266195"/>
        <n v="0.70064263994780396"/>
        <n v="0.91137044414620405"/>
        <m/>
      </sharedItems>
      <fieldGroup base="4">
        <rangePr startNum="0.05" endNum="1.0258425262600499" groupInterval="0.2"/>
        <groupItems count="7">
          <s v="(blank)"/>
          <s v="0.05-0.25"/>
          <s v="0.25-0.45"/>
          <s v="0.45-0.65"/>
          <s v="0.65-0.85"/>
          <s v="0.85-1.05"/>
          <s v="&gt;1.05"/>
        </groupItems>
      </fieldGroup>
    </cacheField>
    <cacheField name="Missed_Payments" numFmtId="0">
      <sharedItems containsString="0" containsBlank="1" containsNumber="1" containsInteger="1" minValue="0" maxValue="6"/>
    </cacheField>
    <cacheField name="Delinquent_Account" numFmtId="0">
      <sharedItems containsString="0" containsBlank="1" containsNumber="1" containsInteger="1" minValue="0" maxValue="1" count="3">
        <n v="0"/>
        <n v="1"/>
        <m/>
      </sharedItems>
    </cacheField>
    <cacheField name="Loan_Balance" numFmtId="0">
      <sharedItems containsString="0" containsBlank="1" containsNumber="1" containsInteger="1" minValue="612" maxValue="99620"/>
    </cacheField>
    <cacheField name="Debt_to_Income_Ratio" numFmtId="0">
      <sharedItems containsString="0" containsBlank="1" containsNumber="1" minValue="0.1" maxValue="0.55295645054628195"/>
    </cacheField>
    <cacheField name="Employment_Status" numFmtId="0">
      <sharedItems containsBlank="1"/>
    </cacheField>
    <cacheField name="Account_Tenure" numFmtId="0">
      <sharedItems containsString="0" containsBlank="1" containsNumber="1" containsInteger="1" minValue="0" maxValue="19"/>
    </cacheField>
    <cacheField name="Credit_Card_Type" numFmtId="0">
      <sharedItems containsBlank="1"/>
    </cacheField>
    <cacheField name="Location" numFmtId="0">
      <sharedItems containsBlank="1"/>
    </cacheField>
    <cacheField name="Month_1" numFmtId="0">
      <sharedItems containsBlank="1"/>
    </cacheField>
    <cacheField name="Month_2" numFmtId="0">
      <sharedItems containsBlank="1"/>
    </cacheField>
    <cacheField name="Month_3" numFmtId="0">
      <sharedItems containsBlank="1"/>
    </cacheField>
    <cacheField name="Month_4" numFmtId="0">
      <sharedItems containsBlank="1"/>
    </cacheField>
    <cacheField name="Month_5" numFmtId="0">
      <sharedItems containsBlank="1"/>
    </cacheField>
    <cacheField name="Month_6" numFmtId="0">
      <sharedItems containsBlank="1"/>
    </cacheField>
    <cacheField name="Field20" caption="Field20" numFmtId="0">
      <sharedItems containsNonDate="0" containsString="0" containsBlank="1"/>
    </cacheField>
    <cacheField name="107658" numFmtId="0">
      <sharedItems containsNonDate="0" containsString="0" containsBlank="1"/>
    </cacheField>
    <cacheField name="586" numFmtId="0">
      <sharedItems containsNonDate="0" containsString="0" containsBlank="1"/>
    </cacheField>
    <cacheField name="45776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n v="56"/>
    <n v="165580"/>
    <n v="398"/>
    <n v="0.39050192860023702"/>
    <x v="0"/>
    <x v="0"/>
    <n v="16310"/>
    <n v="0.31739611496857001"/>
    <s v="EMP"/>
    <n v="18"/>
    <s v="Student"/>
    <s v="Los Angeles"/>
    <s v="Late"/>
    <s v="Late"/>
    <s v="Missed"/>
    <s v="Late"/>
    <s v="Missed"/>
    <s v="Late"/>
  </r>
  <r>
    <x v="1"/>
    <n v="69"/>
    <n v="100999"/>
    <n v="493"/>
    <n v="0.31244403322601699"/>
    <x v="1"/>
    <x v="1"/>
    <n v="17401"/>
    <n v="0.196092643360821"/>
    <s v="Self-employed"/>
    <n v="0"/>
    <s v="Standard"/>
    <s v="Phoenix"/>
    <s v="Missed"/>
    <s v="Missed"/>
    <s v="Late"/>
    <s v="Missed"/>
    <s v="On-time"/>
    <s v="On-time"/>
  </r>
  <r>
    <x v="2"/>
    <n v="46"/>
    <n v="188416"/>
    <n v="500"/>
    <n v="0.359930238508409"/>
    <x v="2"/>
    <x v="0"/>
    <n v="13761"/>
    <n v="0.30165493989091102"/>
    <s v="Self-employed"/>
    <n v="1"/>
    <s v="Platinum"/>
    <s v="Chicago"/>
    <s v="Missed"/>
    <s v="Late"/>
    <s v="Late"/>
    <s v="On-time"/>
    <s v="Missed"/>
    <s v="Late"/>
  </r>
  <r>
    <x v="3"/>
    <n v="32"/>
    <n v="101672"/>
    <n v="413"/>
    <n v="0.37140035530382398"/>
    <x v="0"/>
    <x v="0"/>
    <n v="88778"/>
    <n v="0.26479443922880602"/>
    <s v="Unemployed"/>
    <n v="15"/>
    <s v="Platinum"/>
    <s v="Phoenix"/>
    <s v="Late"/>
    <s v="Missed"/>
    <s v="Late"/>
    <s v="Missed"/>
    <s v="Late"/>
    <s v="Late"/>
  </r>
  <r>
    <x v="4"/>
    <n v="60"/>
    <n v="38524"/>
    <n v="487"/>
    <n v="0.23471586262820099"/>
    <x v="3"/>
    <x v="0"/>
    <n v="13316"/>
    <n v="0.51058348253484798"/>
    <s v="Self-employed"/>
    <n v="11"/>
    <s v="Standard"/>
    <s v="Phoenix"/>
    <s v="Missed"/>
    <s v="On-time"/>
    <s v="Missed"/>
    <s v="Late"/>
    <s v="Late"/>
    <s v="Late"/>
  </r>
  <r>
    <x v="5"/>
    <n v="25"/>
    <n v="84042"/>
    <n v="700"/>
    <n v="0.65054042971452497"/>
    <x v="1"/>
    <x v="0"/>
    <n v="48361"/>
    <n v="0.26068788108000901"/>
    <s v="Unemployed"/>
    <n v="7"/>
    <s v="Gold"/>
    <s v="New York"/>
    <s v="On-time"/>
    <s v="Late"/>
    <s v="Missed"/>
    <s v="Missed"/>
    <s v="Missed"/>
    <s v="Late"/>
  </r>
  <r>
    <x v="6"/>
    <n v="38"/>
    <n v="35056"/>
    <n v="354"/>
    <n v="0.39058094052257902"/>
    <x v="0"/>
    <x v="0"/>
    <n v="4638"/>
    <n v="0.48426513728833398"/>
    <s v="employed"/>
    <n v="17"/>
    <s v="Platinum"/>
    <s v="New York"/>
    <s v="On-time"/>
    <s v="Missed"/>
    <s v="Missed"/>
    <s v="Late"/>
    <s v="Missed"/>
    <s v="Late"/>
  </r>
  <r>
    <x v="7"/>
    <n v="56"/>
    <n v="123215"/>
    <n v="415"/>
    <n v="0.53271466711773097"/>
    <x v="4"/>
    <x v="0"/>
    <n v="55776"/>
    <n v="0.35869522911833701"/>
    <s v="EMP"/>
    <n v="1"/>
    <s v="Student"/>
    <s v="New York"/>
    <s v="On-time"/>
    <s v="On-time"/>
    <s v="On-time"/>
    <s v="Late"/>
    <s v="Missed"/>
    <s v="Late"/>
  </r>
  <r>
    <x v="8"/>
    <n v="36"/>
    <n v="66991"/>
    <n v="405"/>
    <n v="0.41303484761795101"/>
    <x v="4"/>
    <x v="1"/>
    <m/>
    <n v="0.21985410292702701"/>
    <s v="employed"/>
    <n v="12"/>
    <s v="Student"/>
    <s v="Phoenix"/>
    <s v="On-time"/>
    <s v="On-time"/>
    <s v="On-time"/>
    <s v="Missed"/>
    <s v="Late"/>
    <s v="On-time"/>
  </r>
  <r>
    <x v="9"/>
    <n v="40"/>
    <n v="34870"/>
    <n v="679"/>
    <n v="0.361823917542758"/>
    <x v="5"/>
    <x v="0"/>
    <n v="93922"/>
    <n v="0.33308109252597501"/>
    <s v="EMP"/>
    <n v="5"/>
    <s v="Business"/>
    <s v="Los Angeles"/>
    <s v="On-time"/>
    <s v="Missed"/>
    <s v="Missed"/>
    <s v="On-time"/>
    <s v="Missed"/>
    <s v="Missed"/>
  </r>
  <r>
    <x v="10"/>
    <n v="28"/>
    <n v="42532"/>
    <n v="340"/>
    <n v="0.83445584721736998"/>
    <x v="5"/>
    <x v="0"/>
    <n v="82909"/>
    <n v="0.26955902536621801"/>
    <s v="Unemployed"/>
    <n v="5"/>
    <s v="Student"/>
    <s v="Chicago"/>
    <s v="On-time"/>
    <s v="Late"/>
    <s v="Missed"/>
    <s v="Missed"/>
    <s v="On-time"/>
    <s v="Late"/>
  </r>
  <r>
    <x v="11"/>
    <n v="28"/>
    <n v="70479"/>
    <n v="679"/>
    <n v="0.684586436441881"/>
    <x v="0"/>
    <x v="0"/>
    <n v="75777"/>
    <n v="0.32421574907412298"/>
    <s v="Unemployed"/>
    <n v="8"/>
    <s v="Business"/>
    <s v="Chicago"/>
    <s v="On-time"/>
    <s v="Missed"/>
    <s v="Missed"/>
    <s v="Late"/>
    <s v="On-time"/>
    <s v="Late"/>
  </r>
  <r>
    <x v="12"/>
    <n v="41"/>
    <n v="56975"/>
    <n v="320"/>
    <n v="0.12635992000897101"/>
    <x v="2"/>
    <x v="0"/>
    <n v="15171"/>
    <n v="0.22861090125667299"/>
    <s v="EMP"/>
    <n v="15"/>
    <s v="Standard"/>
    <s v="Los Angeles"/>
    <s v="Late"/>
    <s v="Late"/>
    <s v="Missed"/>
    <s v="Late"/>
    <s v="On-time"/>
    <s v="On-time"/>
  </r>
  <r>
    <x v="13"/>
    <n v="70"/>
    <n v="117023"/>
    <n v="528"/>
    <n v="0.105172510332822"/>
    <x v="4"/>
    <x v="0"/>
    <n v="95136"/>
    <n v="0.46901776333459499"/>
    <s v="retired"/>
    <n v="10"/>
    <s v="Standard"/>
    <s v="Los Angeles"/>
    <s v="On-time"/>
    <s v="Missed"/>
    <s v="Missed"/>
    <s v="Missed"/>
    <s v="On-time"/>
    <s v="On-time"/>
  </r>
  <r>
    <x v="14"/>
    <n v="53"/>
    <n v="143148"/>
    <n v="617"/>
    <n v="0.70852176712729698"/>
    <x v="2"/>
    <x v="0"/>
    <n v="2593"/>
    <n v="0.39253980907967201"/>
    <s v="Unemployed"/>
    <n v="6"/>
    <s v="Standard"/>
    <s v="Chicago"/>
    <s v="Late"/>
    <s v="Missed"/>
    <s v="Late"/>
    <s v="Late"/>
    <s v="Late"/>
    <s v="Late"/>
  </r>
  <r>
    <x v="15"/>
    <n v="57"/>
    <n v="159356"/>
    <n v="601"/>
    <n v="0.39602932169024901"/>
    <x v="2"/>
    <x v="0"/>
    <n v="1514"/>
    <n v="0.30317815681615901"/>
    <s v="Self-employed"/>
    <n v="9"/>
    <s v="Gold"/>
    <s v="Houston"/>
    <s v="Missed"/>
    <s v="On-time"/>
    <s v="Late"/>
    <s v="Missed"/>
    <s v="Missed"/>
    <s v="Late"/>
  </r>
  <r>
    <x v="16"/>
    <n v="41"/>
    <n v="146484"/>
    <n v="543"/>
    <n v="0.17018353321315499"/>
    <x v="0"/>
    <x v="0"/>
    <n v="74039"/>
    <n v="0.472911476806953"/>
    <s v="Self-employed"/>
    <n v="9"/>
    <s v="Gold"/>
    <s v="New York"/>
    <s v="Late"/>
    <s v="Missed"/>
    <s v="On-time"/>
    <s v="Missed"/>
    <s v="Missed"/>
    <s v="Late"/>
  </r>
  <r>
    <x v="17"/>
    <n v="20"/>
    <n v="183152"/>
    <n v="823"/>
    <n v="0.70914702650806805"/>
    <x v="2"/>
    <x v="1"/>
    <n v="28018"/>
    <n v="0.30742792440828398"/>
    <s v="Unemployed"/>
    <n v="19"/>
    <s v="Business"/>
    <s v="New York"/>
    <s v="On-time"/>
    <s v="On-time"/>
    <s v="Late"/>
    <s v="Late"/>
    <s v="On-time"/>
    <s v="Late"/>
  </r>
  <r>
    <x v="18"/>
    <n v="39"/>
    <n v="81040"/>
    <n v="831"/>
    <n v="0.53382481001981796"/>
    <x v="4"/>
    <x v="0"/>
    <n v="16034"/>
    <n v="0.40976249648611601"/>
    <s v="Unemployed"/>
    <n v="17"/>
    <s v="Student"/>
    <s v="Chicago"/>
    <s v="Missed"/>
    <s v="On-time"/>
    <s v="On-time"/>
    <s v="Late"/>
    <s v="On-time"/>
    <s v="Missed"/>
  </r>
  <r>
    <x v="19"/>
    <n v="70"/>
    <n v="181319"/>
    <n v="486"/>
    <n v="0.55031421696646299"/>
    <x v="3"/>
    <x v="0"/>
    <n v="2420"/>
    <n v="0.303830058752242"/>
    <s v="retired"/>
    <n v="19"/>
    <s v="Student"/>
    <s v="Los Angeles"/>
    <s v="Late"/>
    <s v="Missed"/>
    <s v="Late"/>
    <s v="Late"/>
    <s v="Late"/>
    <s v="Missed"/>
  </r>
  <r>
    <x v="20"/>
    <n v="19"/>
    <n v="199402"/>
    <n v="783"/>
    <n v="0.66190785440118105"/>
    <x v="5"/>
    <x v="0"/>
    <n v="43942"/>
    <n v="0.33938875948105701"/>
    <s v="Self-employed"/>
    <n v="8"/>
    <s v="Standard"/>
    <s v="Houston"/>
    <s v="Late"/>
    <s v="Late"/>
    <s v="On-time"/>
    <s v="On-time"/>
    <s v="On-time"/>
    <s v="Late"/>
  </r>
  <r>
    <x v="21"/>
    <n v="41"/>
    <n v="40351"/>
    <n v="690"/>
    <n v="0.23800456834352099"/>
    <x v="3"/>
    <x v="1"/>
    <n v="2200"/>
    <n v="0.29185612190572202"/>
    <s v="Unemployed"/>
    <n v="14"/>
    <s v="Platinum"/>
    <s v="Chicago"/>
    <s v="Missed"/>
    <s v="Missed"/>
    <s v="On-time"/>
    <s v="On-time"/>
    <s v="Late"/>
    <s v="Missed"/>
  </r>
  <r>
    <x v="22"/>
    <n v="61"/>
    <n v="154487"/>
    <n v="321"/>
    <n v="0.173699835723167"/>
    <x v="2"/>
    <x v="0"/>
    <n v="81757"/>
    <n v="0.30953013538739299"/>
    <s v="Unemployed"/>
    <n v="3"/>
    <s v="Gold"/>
    <s v="New York"/>
    <s v="Late"/>
    <s v="On-time"/>
    <s v="On-time"/>
    <s v="On-time"/>
    <s v="Late"/>
    <s v="On-time"/>
  </r>
  <r>
    <x v="23"/>
    <n v="47"/>
    <n v="108468"/>
    <n v="538"/>
    <n v="0.81619085898064003"/>
    <x v="3"/>
    <x v="1"/>
    <m/>
    <n v="0.31705318603879901"/>
    <s v="retired"/>
    <n v="7"/>
    <s v="Gold"/>
    <s v="Phoenix"/>
    <s v="Late"/>
    <s v="Late"/>
    <s v="Late"/>
    <s v="On-time"/>
    <s v="Late"/>
    <s v="Late"/>
  </r>
  <r>
    <x v="24"/>
    <n v="55"/>
    <n v="41646"/>
    <n v="847"/>
    <n v="0.212566647851541"/>
    <x v="4"/>
    <x v="0"/>
    <n v="28018"/>
    <n v="0.23302681675115999"/>
    <s v="retired"/>
    <n v="8"/>
    <s v="Standard"/>
    <s v="Los Angeles"/>
    <s v="On-time"/>
    <s v="Missed"/>
    <s v="Missed"/>
    <s v="Missed"/>
    <s v="Late"/>
    <s v="Late"/>
  </r>
  <r>
    <x v="25"/>
    <n v="19"/>
    <n v="193998"/>
    <n v="515"/>
    <n v="0.25555244058488702"/>
    <x v="4"/>
    <x v="0"/>
    <m/>
    <n v="0.25989313330769098"/>
    <s v="EMP"/>
    <n v="12"/>
    <s v="Gold"/>
    <s v="Phoenix"/>
    <s v="Late"/>
    <s v="Missed"/>
    <s v="On-time"/>
    <s v="Late"/>
    <s v="Missed"/>
    <s v="On-time"/>
  </r>
  <r>
    <x v="26"/>
    <n v="38"/>
    <n v="89740"/>
    <n v="789"/>
    <n v="0.29551292409084601"/>
    <x v="2"/>
    <x v="0"/>
    <n v="89660"/>
    <n v="0.27832449835138201"/>
    <s v="retired"/>
    <n v="8"/>
    <s v="Standard"/>
    <s v="Chicago"/>
    <s v="Missed"/>
    <s v="On-time"/>
    <s v="Missed"/>
    <s v="Missed"/>
    <s v="Missed"/>
    <s v="On-time"/>
  </r>
  <r>
    <x v="27"/>
    <n v="50"/>
    <n v="136790"/>
    <n v="525"/>
    <n v="0.91598918473810398"/>
    <x v="0"/>
    <x v="0"/>
    <n v="43870"/>
    <n v="0.32297110168022902"/>
    <s v="employed"/>
    <n v="3"/>
    <s v="Business"/>
    <s v="New York"/>
    <s v="Missed"/>
    <s v="On-time"/>
    <s v="Late"/>
    <s v="Late"/>
    <s v="Missed"/>
    <s v="On-time"/>
  </r>
  <r>
    <x v="28"/>
    <n v="29"/>
    <n v="86726"/>
    <n v="588"/>
    <n v="0.59867666008230402"/>
    <x v="3"/>
    <x v="0"/>
    <m/>
    <n v="0.29694209804965299"/>
    <s v="Self-employed"/>
    <n v="16"/>
    <s v="Student"/>
    <s v="Houston"/>
    <s v="Late"/>
    <s v="Late"/>
    <s v="Missed"/>
    <s v="On-time"/>
    <s v="Late"/>
    <s v="On-time"/>
  </r>
  <r>
    <x v="29"/>
    <n v="39"/>
    <n v="88523"/>
    <n v="523"/>
    <n v="0.69308159488707599"/>
    <x v="0"/>
    <x v="0"/>
    <n v="29561"/>
    <n v="0.41730325338257002"/>
    <s v="EMP"/>
    <n v="15"/>
    <s v="Platinum"/>
    <s v="Phoenix"/>
    <s v="Late"/>
    <s v="On-time"/>
    <s v="On-time"/>
    <s v="On-time"/>
    <s v="Late"/>
    <s v="On-time"/>
  </r>
  <r>
    <x v="30"/>
    <n v="61"/>
    <n v="72458"/>
    <n v="374"/>
    <n v="0.53923350911574497"/>
    <x v="0"/>
    <x v="0"/>
    <n v="60530"/>
    <n v="0.38471183189796399"/>
    <s v="employed"/>
    <n v="14"/>
    <s v="Student"/>
    <s v="Houston"/>
    <s v="On-time"/>
    <s v="Missed"/>
    <s v="Late"/>
    <s v="Missed"/>
    <s v="On-time"/>
    <s v="Missed"/>
  </r>
  <r>
    <x v="31"/>
    <n v="42"/>
    <n v="60106"/>
    <n v="385"/>
    <n v="0.37962255775975301"/>
    <x v="6"/>
    <x v="0"/>
    <n v="46663"/>
    <n v="0.28036724439746202"/>
    <s v="Unemployed"/>
    <n v="2"/>
    <s v="Student"/>
    <s v="New York"/>
    <s v="On-time"/>
    <s v="Late"/>
    <s v="Late"/>
    <s v="On-time"/>
    <s v="On-time"/>
    <s v="Missed"/>
  </r>
  <r>
    <x v="32"/>
    <n v="66"/>
    <n v="106362"/>
    <n v="806"/>
    <n v="0.62625825665203305"/>
    <x v="2"/>
    <x v="1"/>
    <n v="11308"/>
    <n v="0.43817838974519302"/>
    <s v="Unemployed"/>
    <n v="19"/>
    <s v="Business"/>
    <s v="Phoenix"/>
    <s v="Late"/>
    <s v="Late"/>
    <s v="Late"/>
    <s v="Late"/>
    <s v="Late"/>
    <s v="On-time"/>
  </r>
  <r>
    <x v="33"/>
    <n v="44"/>
    <n v="99076"/>
    <n v="440"/>
    <n v="0.18867680584063901"/>
    <x v="5"/>
    <x v="0"/>
    <n v="99005"/>
    <n v="0.48730206235754497"/>
    <s v="EMP"/>
    <n v="4"/>
    <s v="Gold"/>
    <s v="Houston"/>
    <s v="Missed"/>
    <s v="Late"/>
    <s v="Late"/>
    <s v="Missed"/>
    <s v="On-time"/>
    <s v="Missed"/>
  </r>
  <r>
    <x v="34"/>
    <n v="59"/>
    <n v="69693"/>
    <n v="316"/>
    <n v="0.28094330958070102"/>
    <x v="4"/>
    <x v="1"/>
    <n v="60278"/>
    <n v="0.1"/>
    <s v="retired"/>
    <n v="4"/>
    <s v="Platinum"/>
    <s v="Houston"/>
    <s v="On-time"/>
    <s v="Missed"/>
    <s v="Late"/>
    <s v="Late"/>
    <s v="On-time"/>
    <s v="Late"/>
  </r>
  <r>
    <x v="35"/>
    <n v="45"/>
    <n v="137402"/>
    <n v="464"/>
    <n v="0.64659503585229605"/>
    <x v="4"/>
    <x v="0"/>
    <n v="65119"/>
    <n v="0.39322900850662701"/>
    <s v="Unemployed"/>
    <n v="19"/>
    <s v="Gold"/>
    <s v="Phoenix"/>
    <s v="Missed"/>
    <s v="Missed"/>
    <s v="Missed"/>
    <s v="On-time"/>
    <s v="On-time"/>
    <s v="On-time"/>
  </r>
  <r>
    <x v="36"/>
    <n v="33"/>
    <n v="53756"/>
    <n v="521"/>
    <n v="0.22854895383464299"/>
    <x v="2"/>
    <x v="0"/>
    <n v="36029"/>
    <n v="0.23070158026685"/>
    <s v="employed"/>
    <n v="14"/>
    <s v="Student"/>
    <s v="New York"/>
    <s v="Late"/>
    <s v="Missed"/>
    <s v="Missed"/>
    <s v="On-time"/>
    <s v="On-time"/>
    <s v="Missed"/>
  </r>
  <r>
    <x v="37"/>
    <n v="32"/>
    <n v="181319"/>
    <n v="467"/>
    <n v="0.462183706167625"/>
    <x v="1"/>
    <x v="0"/>
    <n v="62010"/>
    <n v="0.38007480213232903"/>
    <s v="EMP"/>
    <n v="17"/>
    <s v="Standard"/>
    <s v="Houston"/>
    <s v="Missed"/>
    <s v="On-time"/>
    <s v="On-time"/>
    <s v="On-time"/>
    <s v="Missed"/>
    <s v="On-time"/>
  </r>
  <r>
    <x v="38"/>
    <n v="64"/>
    <n v="183152"/>
    <n v="823"/>
    <n v="0.47129753112891698"/>
    <x v="1"/>
    <x v="0"/>
    <n v="87164"/>
    <n v="0.42382379406464299"/>
    <s v="employed"/>
    <n v="14"/>
    <s v="Student"/>
    <s v="Chicago"/>
    <s v="Late"/>
    <s v="On-time"/>
    <s v="Late"/>
    <s v="Missed"/>
    <s v="Missed"/>
    <s v="On-time"/>
  </r>
  <r>
    <x v="39"/>
    <n v="68"/>
    <n v="97750"/>
    <n v="352"/>
    <n v="0.394267599332567"/>
    <x v="1"/>
    <x v="0"/>
    <n v="91432"/>
    <n v="0.21230074054894399"/>
    <s v="EMP"/>
    <n v="1"/>
    <s v="Gold"/>
    <s v="Phoenix"/>
    <s v="On-time"/>
    <s v="Late"/>
    <s v="Late"/>
    <s v="On-time"/>
    <s v="On-time"/>
    <s v="On-time"/>
  </r>
  <r>
    <x v="40"/>
    <n v="61"/>
    <m/>
    <n v="372"/>
    <n v="0.10977630503022801"/>
    <x v="5"/>
    <x v="0"/>
    <n v="44454"/>
    <n v="0.114767290098423"/>
    <s v="Self-employed"/>
    <n v="12"/>
    <s v="Student"/>
    <s v="Los Angeles"/>
    <s v="Late"/>
    <s v="Missed"/>
    <s v="Late"/>
    <s v="On-time"/>
    <s v="Late"/>
    <s v="Late"/>
  </r>
  <r>
    <x v="41"/>
    <n v="72"/>
    <n v="81617"/>
    <n v="359"/>
    <n v="0.37421422176226099"/>
    <x v="4"/>
    <x v="0"/>
    <n v="11564"/>
    <n v="0.383543408821586"/>
    <s v="retired"/>
    <n v="3"/>
    <s v="Standard"/>
    <s v="Los Angeles"/>
    <s v="Late"/>
    <s v="On-time"/>
    <s v="Late"/>
    <s v="On-time"/>
    <s v="Missed"/>
    <s v="Missed"/>
  </r>
  <r>
    <x v="42"/>
    <n v="69"/>
    <m/>
    <n v="792"/>
    <n v="0.33500632461350199"/>
    <x v="2"/>
    <x v="1"/>
    <n v="11155"/>
    <n v="0.31354024824836102"/>
    <s v="retired"/>
    <n v="9"/>
    <s v="Business"/>
    <s v="New York"/>
    <s v="On-time"/>
    <s v="Late"/>
    <s v="Late"/>
    <s v="Late"/>
    <s v="Missed"/>
    <s v="Missed"/>
  </r>
  <r>
    <x v="43"/>
    <n v="74"/>
    <n v="66991"/>
    <n v="601"/>
    <n v="0.53228797265753902"/>
    <x v="4"/>
    <x v="0"/>
    <n v="31198"/>
    <n v="0.133156124609737"/>
    <s v="EMP"/>
    <n v="12"/>
    <s v="Gold"/>
    <s v="Chicago"/>
    <s v="On-time"/>
    <s v="Late"/>
    <s v="On-time"/>
    <s v="Missed"/>
    <s v="Missed"/>
    <s v="Late"/>
  </r>
  <r>
    <x v="44"/>
    <n v="20"/>
    <n v="106267"/>
    <n v="751"/>
    <n v="0.52209810773989296"/>
    <x v="0"/>
    <x v="0"/>
    <n v="86447"/>
    <n v="0.55295645054628195"/>
    <s v="Unemployed"/>
    <n v="9"/>
    <s v="Student"/>
    <s v="Houston"/>
    <s v="On-time"/>
    <s v="Missed"/>
    <s v="On-time"/>
    <s v="Late"/>
    <s v="On-time"/>
    <s v="Late"/>
  </r>
  <r>
    <x v="45"/>
    <n v="54"/>
    <n v="59238"/>
    <n v="401"/>
    <n v="0.57559229198737405"/>
    <x v="3"/>
    <x v="1"/>
    <m/>
    <n v="0.36244194122565498"/>
    <s v="Unemployed"/>
    <n v="8"/>
    <s v="Gold"/>
    <s v="Los Angeles"/>
    <s v="On-time"/>
    <s v="Late"/>
    <s v="Missed"/>
    <s v="Missed"/>
    <s v="Late"/>
    <s v="On-time"/>
  </r>
  <r>
    <x v="46"/>
    <n v="68"/>
    <n v="153311"/>
    <n v="326"/>
    <n v="0.36480274540511998"/>
    <x v="3"/>
    <x v="0"/>
    <n v="5626"/>
    <n v="0.36701000401251499"/>
    <s v="employed"/>
    <n v="7"/>
    <s v="Business"/>
    <s v="New York"/>
    <s v="Missed"/>
    <s v="Missed"/>
    <s v="On-time"/>
    <s v="Late"/>
    <s v="Missed"/>
    <s v="Late"/>
  </r>
  <r>
    <x v="47"/>
    <n v="24"/>
    <n v="146800"/>
    <n v="637"/>
    <n v="0.60455559009317805"/>
    <x v="4"/>
    <x v="0"/>
    <n v="2687"/>
    <n v="0.43658177525620401"/>
    <s v="employed"/>
    <n v="2"/>
    <s v="Student"/>
    <s v="Chicago"/>
    <s v="On-time"/>
    <s v="Late"/>
    <s v="On-time"/>
    <s v="Missed"/>
    <s v="On-time"/>
    <s v="On-time"/>
  </r>
  <r>
    <x v="48"/>
    <n v="38"/>
    <n v="97750"/>
    <n v="691"/>
    <n v="0.188798653445263"/>
    <x v="6"/>
    <x v="0"/>
    <n v="63375"/>
    <n v="0.24191760471534901"/>
    <s v="retired"/>
    <n v="15"/>
    <s v="Student"/>
    <s v="Chicago"/>
    <s v="Late"/>
    <s v="On-time"/>
    <s v="On-time"/>
    <s v="On-time"/>
    <s v="Missed"/>
    <s v="Late"/>
  </r>
  <r>
    <x v="49"/>
    <n v="26"/>
    <n v="118033"/>
    <n v="469"/>
    <n v="0.13561905346952899"/>
    <x v="5"/>
    <x v="0"/>
    <n v="92865"/>
    <n v="0.31304541120886697"/>
    <s v="employed"/>
    <n v="13"/>
    <s v="Gold"/>
    <s v="New York"/>
    <s v="Late"/>
    <s v="Missed"/>
    <s v="Missed"/>
    <s v="Late"/>
    <s v="On-time"/>
    <s v="Missed"/>
  </r>
  <r>
    <x v="50"/>
    <n v="56"/>
    <n v="169865"/>
    <n v="336"/>
    <n v="0.05"/>
    <x v="1"/>
    <x v="0"/>
    <n v="92183"/>
    <n v="0.168067808622023"/>
    <s v="employed"/>
    <n v="8"/>
    <s v="Gold"/>
    <s v="New York"/>
    <s v="Missed"/>
    <s v="Late"/>
    <s v="On-time"/>
    <s v="Late"/>
    <s v="Late"/>
    <s v="On-time"/>
  </r>
  <r>
    <x v="51"/>
    <n v="35"/>
    <n v="109074"/>
    <n v="383"/>
    <n v="0.40014055208560001"/>
    <x v="5"/>
    <x v="0"/>
    <m/>
    <n v="0.23920515527148101"/>
    <s v="employed"/>
    <n v="10"/>
    <s v="Standard"/>
    <s v="Houston"/>
    <s v="Late"/>
    <s v="Missed"/>
    <s v="Late"/>
    <s v="Late"/>
    <s v="Missed"/>
    <s v="On-time"/>
  </r>
  <r>
    <x v="52"/>
    <n v="21"/>
    <n v="185806"/>
    <n v="823"/>
    <n v="0.34934035513228801"/>
    <x v="5"/>
    <x v="0"/>
    <m/>
    <n v="0.338566000046923"/>
    <s v="employed"/>
    <n v="2"/>
    <s v="Business"/>
    <s v="New York"/>
    <s v="Missed"/>
    <s v="Missed"/>
    <s v="Late"/>
    <s v="On-time"/>
    <s v="On-time"/>
    <s v="Missed"/>
  </r>
  <r>
    <x v="53"/>
    <n v="42"/>
    <n v="194819"/>
    <n v="339"/>
    <n v="0.65786312237092004"/>
    <x v="0"/>
    <x v="0"/>
    <n v="29427"/>
    <n v="0.13347153328675401"/>
    <s v="employed"/>
    <n v="4"/>
    <s v="Standard"/>
    <s v="Houston"/>
    <s v="Late"/>
    <s v="Missed"/>
    <s v="On-time"/>
    <s v="On-time"/>
    <s v="On-time"/>
    <s v="Missed"/>
  </r>
  <r>
    <x v="54"/>
    <n v="31"/>
    <n v="90353"/>
    <n v="711"/>
    <n v="0.37026748259022602"/>
    <x v="5"/>
    <x v="0"/>
    <n v="69342"/>
    <n v="0.23637104543219101"/>
    <s v="retired"/>
    <n v="9"/>
    <s v="Student"/>
    <s v="Houston"/>
    <s v="Late"/>
    <s v="On-time"/>
    <s v="On-time"/>
    <s v="On-time"/>
    <s v="Late"/>
    <s v="Late"/>
  </r>
  <r>
    <x v="55"/>
    <n v="67"/>
    <n v="198401"/>
    <n v="715"/>
    <n v="0.55467526958885305"/>
    <x v="3"/>
    <x v="0"/>
    <n v="17401"/>
    <n v="0.20720660400622701"/>
    <s v="retired"/>
    <n v="12"/>
    <s v="Gold"/>
    <s v="Phoenix"/>
    <s v="On-time"/>
    <s v="Late"/>
    <s v="Late"/>
    <s v="On-time"/>
    <s v="Late"/>
    <s v="Late"/>
  </r>
  <r>
    <x v="56"/>
    <n v="26"/>
    <n v="76629"/>
    <n v="673"/>
    <n v="0.66265931531661504"/>
    <x v="0"/>
    <x v="0"/>
    <n v="35372"/>
    <n v="0.31420922456203398"/>
    <s v="employed"/>
    <n v="3"/>
    <s v="Student"/>
    <s v="Chicago"/>
    <s v="On-time"/>
    <s v="Late"/>
    <s v="Late"/>
    <s v="Late"/>
    <s v="Missed"/>
    <s v="On-time"/>
  </r>
  <r>
    <x v="57"/>
    <n v="43"/>
    <n v="107193"/>
    <n v="843"/>
    <n v="0.362736184870176"/>
    <x v="2"/>
    <x v="0"/>
    <n v="70793"/>
    <n v="0.35747012616653401"/>
    <s v="EMP"/>
    <n v="12"/>
    <s v="Student"/>
    <s v="Chicago"/>
    <s v="Missed"/>
    <s v="Missed"/>
    <s v="Missed"/>
    <s v="Missed"/>
    <s v="Late"/>
    <s v="On-time"/>
  </r>
  <r>
    <x v="58"/>
    <n v="70"/>
    <n v="81040"/>
    <n v="401"/>
    <n v="0.55961044202143495"/>
    <x v="5"/>
    <x v="0"/>
    <n v="63443"/>
    <n v="0.37421528043764501"/>
    <s v="retired"/>
    <n v="11"/>
    <s v="Platinum"/>
    <s v="Chicago"/>
    <s v="Late"/>
    <s v="Missed"/>
    <s v="Missed"/>
    <s v="Missed"/>
    <s v="Late"/>
    <s v="Missed"/>
  </r>
  <r>
    <x v="59"/>
    <n v="19"/>
    <m/>
    <n v="538"/>
    <n v="0.70038550979103897"/>
    <x v="5"/>
    <x v="0"/>
    <n v="37445"/>
    <n v="0.39988166447781498"/>
    <s v="EMP"/>
    <n v="4"/>
    <s v="Platinum"/>
    <s v="Phoenix"/>
    <s v="On-time"/>
    <s v="Late"/>
    <s v="Missed"/>
    <s v="Late"/>
    <s v="Missed"/>
    <s v="On-time"/>
  </r>
  <r>
    <x v="60"/>
    <n v="37"/>
    <n v="140899"/>
    <n v="826"/>
    <n v="0.25236744503888597"/>
    <x v="2"/>
    <x v="1"/>
    <n v="64950"/>
    <n v="0.43721168465723698"/>
    <s v="Unemployed"/>
    <n v="9"/>
    <s v="Student"/>
    <s v="Houston"/>
    <s v="On-time"/>
    <s v="Missed"/>
    <s v="Late"/>
    <s v="Missed"/>
    <s v="Missed"/>
    <s v="On-time"/>
  </r>
  <r>
    <x v="61"/>
    <n v="45"/>
    <n v="184160"/>
    <n v="475"/>
    <n v="0.50497046764892795"/>
    <x v="5"/>
    <x v="0"/>
    <n v="49893"/>
    <n v="0.36072454536833998"/>
    <s v="employed"/>
    <n v="8"/>
    <s v="Gold"/>
    <s v="Houston"/>
    <s v="Late"/>
    <s v="Missed"/>
    <s v="On-time"/>
    <s v="On-time"/>
    <s v="Missed"/>
    <s v="Missed"/>
  </r>
  <r>
    <x v="62"/>
    <n v="64"/>
    <n v="155507"/>
    <n v="801"/>
    <n v="0.36359312336013699"/>
    <x v="2"/>
    <x v="0"/>
    <n v="81202"/>
    <n v="0.48873358988944099"/>
    <s v="retired"/>
    <n v="19"/>
    <s v="Student"/>
    <s v="New York"/>
    <s v="Missed"/>
    <s v="Late"/>
    <s v="Late"/>
    <s v="On-time"/>
    <s v="Late"/>
    <s v="On-time"/>
  </r>
  <r>
    <x v="63"/>
    <n v="24"/>
    <n v="109074"/>
    <n v="739"/>
    <n v="0.26510202350137202"/>
    <x v="0"/>
    <x v="0"/>
    <n v="54247"/>
    <n v="0.31195025212646799"/>
    <s v="Self-employed"/>
    <n v="6"/>
    <s v="Platinum"/>
    <s v="Phoenix"/>
    <s v="Missed"/>
    <s v="Missed"/>
    <s v="Missed"/>
    <s v="Missed"/>
    <s v="On-time"/>
    <s v="Missed"/>
  </r>
  <r>
    <x v="64"/>
    <n v="61"/>
    <n v="43251"/>
    <n v="773"/>
    <n v="0.19270965190195399"/>
    <x v="3"/>
    <x v="0"/>
    <n v="86488"/>
    <n v="0.28266788457494502"/>
    <s v="Unemployed"/>
    <n v="1"/>
    <s v="Gold"/>
    <s v="New York"/>
    <s v="On-time"/>
    <s v="Missed"/>
    <s v="Late"/>
    <s v="On-time"/>
    <s v="On-time"/>
    <s v="Late"/>
  </r>
  <r>
    <x v="65"/>
    <n v="25"/>
    <n v="117634"/>
    <n v="815"/>
    <n v="0.26187028556425901"/>
    <x v="2"/>
    <x v="0"/>
    <n v="95267"/>
    <n v="0.360730736336004"/>
    <s v="EMP"/>
    <n v="6"/>
    <s v="Student"/>
    <s v="Phoenix"/>
    <s v="Missed"/>
    <s v="On-time"/>
    <s v="Missed"/>
    <s v="Missed"/>
    <s v="Late"/>
    <s v="Missed"/>
  </r>
  <r>
    <x v="66"/>
    <n v="64"/>
    <m/>
    <n v="612"/>
    <n v="0.51200580115040195"/>
    <x v="6"/>
    <x v="0"/>
    <n v="99005"/>
    <n v="0.27835888250074098"/>
    <s v="retired"/>
    <n v="7"/>
    <s v="Business"/>
    <s v="New York"/>
    <s v="On-time"/>
    <s v="Late"/>
    <s v="On-time"/>
    <s v="Missed"/>
    <s v="On-time"/>
    <s v="On-time"/>
  </r>
  <r>
    <x v="67"/>
    <n v="52"/>
    <n v="172164"/>
    <n v="600"/>
    <n v="0.17783110888765"/>
    <x v="2"/>
    <x v="0"/>
    <n v="7468"/>
    <n v="0.48525647287750401"/>
    <s v="employed"/>
    <n v="6"/>
    <s v="Business"/>
    <s v="Los Angeles"/>
    <s v="Missed"/>
    <s v="Missed"/>
    <s v="On-time"/>
    <s v="Late"/>
    <s v="Late"/>
    <s v="Missed"/>
  </r>
  <r>
    <x v="68"/>
    <n v="31"/>
    <m/>
    <n v="796"/>
    <n v="0.389854595182272"/>
    <x v="5"/>
    <x v="0"/>
    <n v="85026"/>
    <n v="0.41309834731352102"/>
    <s v="employed"/>
    <n v="13"/>
    <s v="Student"/>
    <s v="Chicago"/>
    <s v="Missed"/>
    <s v="Late"/>
    <s v="Missed"/>
    <s v="Late"/>
    <s v="Late"/>
    <s v="Missed"/>
  </r>
  <r>
    <x v="69"/>
    <n v="34"/>
    <n v="81617"/>
    <n v="822"/>
    <n v="0.66263888137057902"/>
    <x v="1"/>
    <x v="0"/>
    <n v="24917"/>
    <n v="0.37502781441995098"/>
    <s v="Self-employed"/>
    <n v="18"/>
    <s v="Gold"/>
    <s v="Chicago"/>
    <s v="Late"/>
    <s v="Missed"/>
    <s v="On-time"/>
    <s v="On-time"/>
    <s v="On-time"/>
    <s v="Missed"/>
  </r>
  <r>
    <x v="70"/>
    <n v="53"/>
    <n v="196415"/>
    <n v="797"/>
    <n v="0.58980219268378697"/>
    <x v="1"/>
    <x v="1"/>
    <n v="77348"/>
    <n v="0.31314193440413501"/>
    <s v="EMP"/>
    <n v="4"/>
    <s v="Student"/>
    <s v="Houston"/>
    <s v="On-time"/>
    <s v="On-time"/>
    <s v="Missed"/>
    <s v="Missed"/>
    <s v="On-time"/>
    <s v="Late"/>
  </r>
  <r>
    <x v="71"/>
    <n v="67"/>
    <n v="159572"/>
    <n v="371"/>
    <n v="0.393898475412368"/>
    <x v="0"/>
    <x v="0"/>
    <n v="16310"/>
    <n v="0.25925228285851298"/>
    <s v="Unemployed"/>
    <n v="17"/>
    <s v="Student"/>
    <s v="Los Angeles"/>
    <s v="Missed"/>
    <s v="On-time"/>
    <s v="On-time"/>
    <s v="Missed"/>
    <s v="On-time"/>
    <s v="On-time"/>
  </r>
  <r>
    <x v="72"/>
    <n v="57"/>
    <n v="136465"/>
    <n v="567"/>
    <n v="0.83793808267174397"/>
    <x v="4"/>
    <x v="0"/>
    <n v="95303"/>
    <n v="0.37013250045677598"/>
    <s v="employed"/>
    <n v="19"/>
    <s v="Platinum"/>
    <s v="Chicago"/>
    <s v="Late"/>
    <s v="Late"/>
    <s v="Missed"/>
    <s v="On-time"/>
    <s v="On-time"/>
    <s v="Missed"/>
  </r>
  <r>
    <x v="73"/>
    <n v="21"/>
    <n v="36447"/>
    <n v="448"/>
    <n v="0.87860728278233202"/>
    <x v="0"/>
    <x v="0"/>
    <n v="13355"/>
    <n v="0.18729025481530401"/>
    <s v="Self-employed"/>
    <n v="11"/>
    <s v="Business"/>
    <s v="Houston"/>
    <s v="On-time"/>
    <s v="On-time"/>
    <s v="Missed"/>
    <s v="Late"/>
    <s v="On-time"/>
    <s v="Missed"/>
  </r>
  <r>
    <x v="74"/>
    <n v="19"/>
    <n v="159188"/>
    <n v="835"/>
    <n v="0.50522448630794503"/>
    <x v="4"/>
    <x v="0"/>
    <n v="96507"/>
    <n v="0.45343635334410198"/>
    <s v="employed"/>
    <n v="16"/>
    <s v="Platinum"/>
    <s v="Los Angeles"/>
    <s v="On-time"/>
    <s v="On-time"/>
    <s v="On-time"/>
    <s v="Missed"/>
    <s v="On-time"/>
    <s v="On-time"/>
  </r>
  <r>
    <x v="75"/>
    <n v="23"/>
    <n v="181267"/>
    <n v="542"/>
    <n v="0.05"/>
    <x v="1"/>
    <x v="0"/>
    <n v="24851"/>
    <n v="0.28223632946146199"/>
    <s v="retired"/>
    <n v="12"/>
    <s v="Platinum"/>
    <s v="Chicago"/>
    <s v="Missed"/>
    <s v="Missed"/>
    <s v="Late"/>
    <s v="Missed"/>
    <s v="Late"/>
    <s v="On-time"/>
  </r>
  <r>
    <x v="76"/>
    <n v="71"/>
    <m/>
    <n v="611"/>
    <n v="0.67728963940325104"/>
    <x v="1"/>
    <x v="0"/>
    <n v="23908"/>
    <n v="0.33051067332407202"/>
    <s v="employed"/>
    <n v="1"/>
    <s v="Student"/>
    <s v="New York"/>
    <s v="Late"/>
    <s v="Missed"/>
    <s v="Late"/>
    <s v="On-time"/>
    <s v="Missed"/>
    <s v="Missed"/>
  </r>
  <r>
    <x v="77"/>
    <n v="59"/>
    <n v="59425"/>
    <n v="577"/>
    <n v="0.05"/>
    <x v="2"/>
    <x v="0"/>
    <n v="65548"/>
    <n v="0.209039892380671"/>
    <s v="Unemployed"/>
    <n v="12"/>
    <s v="Platinum"/>
    <s v="Phoenix"/>
    <s v="Missed"/>
    <s v="On-time"/>
    <s v="On-time"/>
    <s v="On-time"/>
    <s v="On-time"/>
    <s v="On-time"/>
  </r>
  <r>
    <x v="78"/>
    <n v="21"/>
    <n v="97844"/>
    <n v="728"/>
    <n v="0.79522922214401304"/>
    <x v="3"/>
    <x v="0"/>
    <n v="82909"/>
    <n v="0.37229862631192201"/>
    <s v="employed"/>
    <n v="6"/>
    <s v="Business"/>
    <s v="Los Angeles"/>
    <s v="On-time"/>
    <s v="Missed"/>
    <s v="On-time"/>
    <s v="Late"/>
    <s v="On-time"/>
    <s v="Late"/>
  </r>
  <r>
    <x v="79"/>
    <n v="71"/>
    <n v="115235"/>
    <n v="427"/>
    <n v="0.71671698014845897"/>
    <x v="6"/>
    <x v="0"/>
    <n v="31454"/>
    <n v="0.25462583871616701"/>
    <s v="EMP"/>
    <n v="9"/>
    <s v="Platinum"/>
    <s v="Houston"/>
    <s v="Missed"/>
    <s v="On-time"/>
    <s v="Late"/>
    <s v="On-time"/>
    <s v="On-time"/>
    <s v="Late"/>
  </r>
  <r>
    <x v="80"/>
    <n v="46"/>
    <n v="189358"/>
    <n v="824"/>
    <n v="0.85484250082760405"/>
    <x v="0"/>
    <x v="0"/>
    <n v="4617"/>
    <n v="0.36492287903050902"/>
    <s v="retired"/>
    <n v="5"/>
    <s v="Business"/>
    <s v="Los Angeles"/>
    <s v="Missed"/>
    <s v="Late"/>
    <s v="Late"/>
    <s v="On-time"/>
    <s v="Late"/>
    <s v="On-time"/>
  </r>
  <r>
    <x v="81"/>
    <n v="35"/>
    <n v="88847"/>
    <n v="686"/>
    <n v="0.55205311167354498"/>
    <x v="5"/>
    <x v="0"/>
    <n v="92329"/>
    <n v="0.37573934689773802"/>
    <s v="retired"/>
    <n v="2"/>
    <s v="Platinum"/>
    <s v="Houston"/>
    <s v="Late"/>
    <s v="Late"/>
    <s v="Missed"/>
    <s v="On-time"/>
    <s v="Late"/>
    <s v="Late"/>
  </r>
  <r>
    <x v="82"/>
    <n v="43"/>
    <n v="172504"/>
    <n v="835"/>
    <n v="0.42772284656363202"/>
    <x v="4"/>
    <x v="0"/>
    <n v="28298"/>
    <n v="0.235236788641145"/>
    <s v="Unemployed"/>
    <n v="2"/>
    <s v="Business"/>
    <s v="Los Angeles"/>
    <s v="On-time"/>
    <s v="Missed"/>
    <s v="Late"/>
    <s v="Late"/>
    <s v="Missed"/>
    <s v="Missed"/>
  </r>
  <r>
    <x v="83"/>
    <n v="61"/>
    <n v="115235"/>
    <n v="820"/>
    <n v="0.40997977326195501"/>
    <x v="5"/>
    <x v="0"/>
    <n v="10942"/>
    <n v="0.18764708790859999"/>
    <s v="retired"/>
    <n v="17"/>
    <s v="Platinum"/>
    <s v="Houston"/>
    <s v="Late"/>
    <s v="Late"/>
    <s v="Missed"/>
    <s v="Late"/>
    <s v="Late"/>
    <s v="Late"/>
  </r>
  <r>
    <x v="84"/>
    <n v="51"/>
    <n v="186230"/>
    <n v="336"/>
    <n v="0.39074796579381998"/>
    <x v="3"/>
    <x v="0"/>
    <n v="51440"/>
    <n v="0.45318999165445401"/>
    <s v="EMP"/>
    <n v="10"/>
    <s v="Platinum"/>
    <s v="Chicago"/>
    <s v="On-time"/>
    <s v="Missed"/>
    <s v="Late"/>
    <s v="On-time"/>
    <s v="Late"/>
    <s v="On-time"/>
  </r>
  <r>
    <x v="85"/>
    <n v="27"/>
    <n v="80215"/>
    <n v="572"/>
    <n v="0.69621373073493997"/>
    <x v="4"/>
    <x v="0"/>
    <n v="12707"/>
    <n v="0.28077009659709101"/>
    <s v="employed"/>
    <n v="19"/>
    <s v="Gold"/>
    <s v="New York"/>
    <s v="Missed"/>
    <s v="Missed"/>
    <s v="On-time"/>
    <s v="Late"/>
    <s v="Missed"/>
    <s v="On-time"/>
  </r>
  <r>
    <x v="86"/>
    <n v="53"/>
    <n v="141131"/>
    <n v="601"/>
    <n v="0.64245429790117503"/>
    <x v="0"/>
    <x v="1"/>
    <n v="92865"/>
    <n v="0.32248488160456301"/>
    <s v="Unemployed"/>
    <n v="4"/>
    <s v="Business"/>
    <s v="Chicago"/>
    <s v="On-time"/>
    <s v="Missed"/>
    <s v="On-time"/>
    <s v="Late"/>
    <s v="On-time"/>
    <s v="Missed"/>
  </r>
  <r>
    <x v="87"/>
    <n v="31"/>
    <n v="188416"/>
    <n v="680"/>
    <n v="0.524045126686842"/>
    <x v="2"/>
    <x v="0"/>
    <n v="35598"/>
    <n v="0.34854645246467397"/>
    <s v="retired"/>
    <n v="18"/>
    <s v="Business"/>
    <s v="New York"/>
    <s v="On-time"/>
    <s v="Late"/>
    <s v="On-time"/>
    <s v="Late"/>
    <s v="Missed"/>
    <s v="On-time"/>
  </r>
  <r>
    <x v="88"/>
    <n v="48"/>
    <n v="129585"/>
    <n v="458"/>
    <n v="0.35556373841460498"/>
    <x v="5"/>
    <x v="0"/>
    <n v="51431"/>
    <n v="0.17462998701017701"/>
    <s v="retired"/>
    <n v="18"/>
    <s v="Business"/>
    <s v="Chicago"/>
    <s v="On-time"/>
    <s v="Late"/>
    <s v="Missed"/>
    <s v="Late"/>
    <s v="Missed"/>
    <s v="On-time"/>
  </r>
  <r>
    <x v="89"/>
    <n v="65"/>
    <n v="127856"/>
    <n v="361"/>
    <n v="1.0258425262600499"/>
    <x v="3"/>
    <x v="0"/>
    <n v="2200"/>
    <n v="0.34626661368198802"/>
    <s v="EMP"/>
    <n v="14"/>
    <s v="Standard"/>
    <s v="Chicago"/>
    <s v="On-time"/>
    <s v="Late"/>
    <s v="On-time"/>
    <s v="Missed"/>
    <s v="Missed"/>
    <s v="On-time"/>
  </r>
  <r>
    <x v="90"/>
    <n v="32"/>
    <n v="90353"/>
    <n v="664"/>
    <n v="0.68247492279257305"/>
    <x v="0"/>
    <x v="0"/>
    <n v="20525"/>
    <n v="0.309912653615463"/>
    <s v="employed"/>
    <n v="15"/>
    <s v="Platinum"/>
    <s v="Los Angeles"/>
    <s v="On-time"/>
    <s v="Late"/>
    <s v="Late"/>
    <s v="On-time"/>
    <s v="On-time"/>
    <s v="Late"/>
  </r>
  <r>
    <x v="91"/>
    <n v="25"/>
    <n v="18709"/>
    <n v="444"/>
    <n v="0.18045761604531799"/>
    <x v="1"/>
    <x v="0"/>
    <n v="44437"/>
    <n v="0.23564693022955999"/>
    <s v="employed"/>
    <n v="8"/>
    <s v="Business"/>
    <s v="Phoenix"/>
    <s v="Missed"/>
    <s v="Late"/>
    <s v="Late"/>
    <s v="On-time"/>
    <s v="On-time"/>
    <s v="Late"/>
  </r>
  <r>
    <x v="92"/>
    <n v="31"/>
    <n v="90353"/>
    <n v="372"/>
    <n v="0.39674879681257402"/>
    <x v="1"/>
    <x v="0"/>
    <n v="59192"/>
    <n v="0.184346401516227"/>
    <s v="retired"/>
    <n v="3"/>
    <s v="Standard"/>
    <s v="Houston"/>
    <s v="Late"/>
    <s v="Late"/>
    <s v="Missed"/>
    <s v="On-time"/>
    <s v="Missed"/>
    <s v="On-time"/>
  </r>
  <r>
    <x v="93"/>
    <n v="40"/>
    <m/>
    <n v="439"/>
    <n v="0.68635521948174105"/>
    <x v="0"/>
    <x v="0"/>
    <n v="17401"/>
    <n v="0.36058855479572699"/>
    <s v="employed"/>
    <n v="14"/>
    <s v="Gold"/>
    <s v="Houston"/>
    <s v="On-time"/>
    <s v="Late"/>
    <s v="Missed"/>
    <s v="On-time"/>
    <s v="On-time"/>
    <s v="Late"/>
  </r>
  <r>
    <x v="94"/>
    <n v="74"/>
    <n v="35056"/>
    <n v="648"/>
    <n v="0.34009221575346299"/>
    <x v="0"/>
    <x v="0"/>
    <n v="67236"/>
    <n v="0.41277120081948698"/>
    <s v="Unemployed"/>
    <n v="11"/>
    <s v="Business"/>
    <s v="Houston"/>
    <s v="Missed"/>
    <s v="Late"/>
    <s v="Missed"/>
    <s v="Missed"/>
    <s v="Missed"/>
    <s v="On-time"/>
  </r>
  <r>
    <x v="95"/>
    <n v="57"/>
    <n v="90353"/>
    <n v="306"/>
    <n v="0.57030959176517704"/>
    <x v="0"/>
    <x v="0"/>
    <n v="11251"/>
    <n v="0.31785905173927997"/>
    <s v="retired"/>
    <n v="2"/>
    <s v="Business"/>
    <s v="New York"/>
    <s v="On-time"/>
    <s v="Late"/>
    <s v="Missed"/>
    <s v="Late"/>
    <s v="Missed"/>
    <s v="Missed"/>
  </r>
  <r>
    <x v="96"/>
    <n v="38"/>
    <n v="121357"/>
    <n v="742"/>
    <n v="0.69015926006722905"/>
    <x v="4"/>
    <x v="0"/>
    <n v="8110"/>
    <n v="0.15655346581503099"/>
    <s v="Self-employed"/>
    <n v="13"/>
    <s v="Standard"/>
    <s v="Houston"/>
    <s v="On-time"/>
    <s v="On-time"/>
    <s v="Missed"/>
    <s v="Missed"/>
    <s v="On-time"/>
    <s v="On-time"/>
  </r>
  <r>
    <x v="97"/>
    <n v="33"/>
    <n v="152326"/>
    <n v="383"/>
    <n v="0.05"/>
    <x v="0"/>
    <x v="0"/>
    <n v="10778"/>
    <n v="0.19426671828252601"/>
    <s v="Unemployed"/>
    <n v="16"/>
    <s v="Platinum"/>
    <s v="Houston"/>
    <s v="Missed"/>
    <s v="Late"/>
    <s v="On-time"/>
    <s v="On-time"/>
    <s v="Missed"/>
    <s v="On-time"/>
  </r>
  <r>
    <x v="98"/>
    <n v="62"/>
    <n v="189197"/>
    <n v="639"/>
    <n v="0.47839246004214903"/>
    <x v="5"/>
    <x v="1"/>
    <n v="50183"/>
    <n v="0.256787629067594"/>
    <s v="employed"/>
    <n v="18"/>
    <s v="Gold"/>
    <s v="Los Angeles"/>
    <s v="Missed"/>
    <s v="Late"/>
    <s v="On-time"/>
    <s v="Missed"/>
    <s v="On-time"/>
    <s v="Late"/>
  </r>
  <r>
    <x v="99"/>
    <n v="35"/>
    <n v="54298"/>
    <n v="495"/>
    <n v="0.48624183071302401"/>
    <x v="3"/>
    <x v="0"/>
    <n v="13355"/>
    <n v="0.45646197411607498"/>
    <s v="retired"/>
    <n v="5"/>
    <s v="Business"/>
    <s v="Chicago"/>
    <s v="Late"/>
    <s v="Missed"/>
    <s v="Missed"/>
    <s v="Late"/>
    <s v="Late"/>
    <s v="Late"/>
  </r>
  <r>
    <x v="100"/>
    <n v="64"/>
    <n v="106007"/>
    <n v="820"/>
    <n v="0.41758550886324203"/>
    <x v="4"/>
    <x v="0"/>
    <n v="11061"/>
    <n v="0.27532493379011203"/>
    <s v="EMP"/>
    <n v="3"/>
    <s v="Platinum"/>
    <s v="Houston"/>
    <s v="On-time"/>
    <s v="Late"/>
    <s v="Missed"/>
    <s v="Late"/>
    <s v="Late"/>
    <s v="Missed"/>
  </r>
  <r>
    <x v="101"/>
    <n v="70"/>
    <n v="155734"/>
    <n v="563"/>
    <n v="0.56033902698920801"/>
    <x v="0"/>
    <x v="0"/>
    <n v="79354"/>
    <n v="0.25314310772018001"/>
    <s v="Self-employed"/>
    <n v="6"/>
    <s v="Gold"/>
    <s v="Phoenix"/>
    <s v="Late"/>
    <s v="Missed"/>
    <s v="Missed"/>
    <s v="Missed"/>
    <s v="Missed"/>
    <s v="On-time"/>
  </r>
  <r>
    <x v="102"/>
    <n v="41"/>
    <n v="163216"/>
    <n v="429"/>
    <n v="0.631503921499174"/>
    <x v="6"/>
    <x v="1"/>
    <m/>
    <n v="0.132651520032388"/>
    <s v="retired"/>
    <n v="18"/>
    <s v="Student"/>
    <s v="Houston"/>
    <s v="Late"/>
    <s v="Missed"/>
    <s v="Late"/>
    <s v="Late"/>
    <s v="Missed"/>
    <s v="On-time"/>
  </r>
  <r>
    <x v="103"/>
    <n v="43"/>
    <n v="107658"/>
    <n v="679"/>
    <n v="0.52841018886492097"/>
    <x v="6"/>
    <x v="0"/>
    <n v="60628"/>
    <n v="0.23433152098898799"/>
    <s v="employed"/>
    <n v="16"/>
    <s v="Student"/>
    <s v="New York"/>
    <s v="Late"/>
    <s v="On-time"/>
    <s v="Late"/>
    <s v="Late"/>
    <s v="Missed"/>
    <s v="Missed"/>
  </r>
  <r>
    <x v="104"/>
    <n v="42"/>
    <n v="178165"/>
    <n v="383"/>
    <n v="0.42523452119011301"/>
    <x v="3"/>
    <x v="0"/>
    <m/>
    <n v="0.17670636460091599"/>
    <s v="Self-employed"/>
    <n v="15"/>
    <s v="Gold"/>
    <s v="New York"/>
    <s v="Missed"/>
    <s v="On-time"/>
    <s v="Missed"/>
    <s v="On-time"/>
    <s v="On-time"/>
    <s v="Late"/>
  </r>
  <r>
    <x v="105"/>
    <n v="62"/>
    <n v="99076"/>
    <n v="340"/>
    <n v="0.62652425995685301"/>
    <x v="1"/>
    <x v="0"/>
    <n v="30443"/>
    <n v="0.199682016907719"/>
    <s v="retired"/>
    <n v="14"/>
    <s v="Standard"/>
    <s v="New York"/>
    <s v="Late"/>
    <s v="Late"/>
    <s v="Late"/>
    <s v="Missed"/>
    <s v="Missed"/>
    <s v="Missed"/>
  </r>
  <r>
    <x v="106"/>
    <n v="58"/>
    <n v="117023"/>
    <n v="339"/>
    <n v="0.509810681854871"/>
    <x v="2"/>
    <x v="0"/>
    <n v="42556"/>
    <n v="0.31199506801587401"/>
    <s v="employed"/>
    <n v="7"/>
    <s v="Gold"/>
    <s v="Houston"/>
    <s v="On-time"/>
    <s v="On-time"/>
    <s v="Late"/>
    <s v="Late"/>
    <s v="Late"/>
    <s v="On-time"/>
  </r>
  <r>
    <x v="107"/>
    <n v="46"/>
    <n v="127816"/>
    <n v="820"/>
    <n v="0.45385991736090397"/>
    <x v="2"/>
    <x v="0"/>
    <n v="94000"/>
    <n v="0.25988357943888202"/>
    <s v="Self-employed"/>
    <n v="18"/>
    <s v="Gold"/>
    <s v="Los Angeles"/>
    <s v="Missed"/>
    <s v="Missed"/>
    <s v="Late"/>
    <s v="On-time"/>
    <s v="On-time"/>
    <s v="Missed"/>
  </r>
  <r>
    <x v="108"/>
    <n v="32"/>
    <n v="19748"/>
    <n v="354"/>
    <n v="0.237544122932216"/>
    <x v="1"/>
    <x v="0"/>
    <n v="29584"/>
    <n v="0.469949445267134"/>
    <s v="employed"/>
    <n v="7"/>
    <s v="Standard"/>
    <s v="Phoenix"/>
    <s v="Missed"/>
    <s v="Late"/>
    <s v="On-time"/>
    <s v="Late"/>
    <s v="Missed"/>
    <s v="Late"/>
  </r>
  <r>
    <x v="109"/>
    <n v="62"/>
    <n v="170026"/>
    <n v="523"/>
    <n v="0.18746904294678399"/>
    <x v="4"/>
    <x v="0"/>
    <n v="64950"/>
    <n v="0.40780033727074699"/>
    <s v="employed"/>
    <n v="17"/>
    <s v="Standard"/>
    <s v="Houston"/>
    <s v="Missed"/>
    <s v="Missed"/>
    <s v="On-time"/>
    <s v="Late"/>
    <s v="On-time"/>
    <s v="On-time"/>
  </r>
  <r>
    <x v="110"/>
    <n v="18"/>
    <n v="43732"/>
    <n v="474"/>
    <n v="0.23375404145718501"/>
    <x v="4"/>
    <x v="0"/>
    <n v="76774"/>
    <n v="0.23911160621896599"/>
    <s v="Self-employed"/>
    <n v="15"/>
    <s v="Platinum"/>
    <s v="Los Angeles"/>
    <s v="Missed"/>
    <s v="Missed"/>
    <s v="On-time"/>
    <s v="Late"/>
    <s v="Late"/>
    <s v="Late"/>
  </r>
  <r>
    <x v="111"/>
    <n v="42"/>
    <n v="16015"/>
    <n v="332"/>
    <n v="0.55566581224404299"/>
    <x v="4"/>
    <x v="0"/>
    <n v="8828"/>
    <n v="0.20831821582594801"/>
    <s v="Self-employed"/>
    <n v="19"/>
    <s v="Platinum"/>
    <s v="Los Angeles"/>
    <s v="Late"/>
    <s v="Missed"/>
    <s v="Late"/>
    <s v="Late"/>
    <s v="Late"/>
    <s v="On-time"/>
  </r>
  <r>
    <x v="112"/>
    <n v="24"/>
    <n v="153311"/>
    <n v="475"/>
    <n v="0.48418425047872898"/>
    <x v="2"/>
    <x v="1"/>
    <n v="692"/>
    <n v="0.43826419356641899"/>
    <s v="employed"/>
    <n v="18"/>
    <s v="Standard"/>
    <s v="Houston"/>
    <s v="Missed"/>
    <s v="Late"/>
    <s v="Late"/>
    <s v="Late"/>
    <s v="Missed"/>
    <s v="On-time"/>
  </r>
  <r>
    <x v="113"/>
    <n v="26"/>
    <m/>
    <n v="725"/>
    <n v="0.203943180358507"/>
    <x v="6"/>
    <x v="0"/>
    <n v="77743"/>
    <n v="0.46600424894834802"/>
    <s v="employed"/>
    <n v="9"/>
    <s v="Student"/>
    <s v="Houston"/>
    <s v="On-time"/>
    <s v="Late"/>
    <s v="Late"/>
    <s v="Late"/>
    <s v="On-time"/>
    <s v="On-time"/>
  </r>
  <r>
    <x v="114"/>
    <n v="41"/>
    <n v="138961"/>
    <n v="826"/>
    <n v="0.62918356515876195"/>
    <x v="2"/>
    <x v="0"/>
    <n v="32588"/>
    <n v="0.1"/>
    <s v="Self-employed"/>
    <n v="16"/>
    <s v="Student"/>
    <s v="Los Angeles"/>
    <s v="On-time"/>
    <s v="On-time"/>
    <s v="Missed"/>
    <s v="Late"/>
    <s v="Missed"/>
    <s v="Late"/>
  </r>
  <r>
    <x v="115"/>
    <n v="18"/>
    <n v="121884"/>
    <m/>
    <n v="0.774861902635819"/>
    <x v="5"/>
    <x v="0"/>
    <m/>
    <n v="0.30928576239716998"/>
    <s v="retired"/>
    <n v="12"/>
    <s v="Gold"/>
    <s v="Los Angeles"/>
    <s v="On-time"/>
    <s v="Late"/>
    <s v="Late"/>
    <s v="Late"/>
    <s v="Missed"/>
    <s v="Late"/>
  </r>
  <r>
    <x v="116"/>
    <n v="61"/>
    <n v="19835"/>
    <n v="629"/>
    <n v="0.38030127665673202"/>
    <x v="0"/>
    <x v="1"/>
    <n v="55980"/>
    <n v="0.27481216921032697"/>
    <s v="Unemployed"/>
    <n v="12"/>
    <s v="Business"/>
    <s v="Los Angeles"/>
    <s v="Late"/>
    <s v="Late"/>
    <s v="Missed"/>
    <s v="Missed"/>
    <s v="Missed"/>
    <s v="Missed"/>
  </r>
  <r>
    <x v="117"/>
    <n v="25"/>
    <n v="84724"/>
    <n v="655"/>
    <n v="0.15180362852632501"/>
    <x v="4"/>
    <x v="0"/>
    <n v="22510"/>
    <n v="0.36491201400599299"/>
    <s v="EMP"/>
    <n v="6"/>
    <s v="Gold"/>
    <s v="Houston"/>
    <s v="Late"/>
    <s v="Late"/>
    <s v="On-time"/>
    <s v="Late"/>
    <s v="On-time"/>
    <s v="Late"/>
  </r>
  <r>
    <x v="118"/>
    <n v="41"/>
    <n v="125448"/>
    <n v="644"/>
    <n v="0.358174723019617"/>
    <x v="6"/>
    <x v="1"/>
    <n v="82909"/>
    <n v="0.49426681241615"/>
    <s v="employed"/>
    <n v="9"/>
    <s v="Gold"/>
    <s v="Los Angeles"/>
    <s v="On-time"/>
    <s v="Late"/>
    <s v="On-time"/>
    <s v="Missed"/>
    <s v="Late"/>
    <s v="Missed"/>
  </r>
  <r>
    <x v="119"/>
    <n v="28"/>
    <n v="134156"/>
    <n v="584"/>
    <n v="0.67089212535893805"/>
    <x v="3"/>
    <x v="0"/>
    <n v="30509"/>
    <n v="0.25159429806722"/>
    <s v="employed"/>
    <n v="1"/>
    <s v="Business"/>
    <s v="New York"/>
    <s v="Late"/>
    <s v="Missed"/>
    <s v="Late"/>
    <s v="Late"/>
    <s v="On-time"/>
    <s v="Missed"/>
  </r>
  <r>
    <x v="120"/>
    <n v="68"/>
    <n v="190333"/>
    <n v="526"/>
    <n v="0.60970597170695395"/>
    <x v="3"/>
    <x v="0"/>
    <m/>
    <n v="0.1"/>
    <s v="EMP"/>
    <n v="3"/>
    <s v="Standard"/>
    <s v="Houston"/>
    <s v="Missed"/>
    <s v="On-time"/>
    <s v="Missed"/>
    <s v="On-time"/>
    <s v="On-time"/>
    <s v="Missed"/>
  </r>
  <r>
    <x v="121"/>
    <n v="34"/>
    <n v="125226"/>
    <n v="354"/>
    <n v="0.31551346279770398"/>
    <x v="0"/>
    <x v="0"/>
    <n v="35598"/>
    <n v="0.35790077001492598"/>
    <s v="employed"/>
    <n v="5"/>
    <s v="Student"/>
    <s v="New York"/>
    <s v="Late"/>
    <s v="On-time"/>
    <s v="On-time"/>
    <s v="Late"/>
    <s v="Missed"/>
    <s v="On-time"/>
  </r>
  <r>
    <x v="122"/>
    <n v="25"/>
    <n v="80953"/>
    <n v="623"/>
    <n v="0.80423442755294805"/>
    <x v="6"/>
    <x v="1"/>
    <n v="71588"/>
    <n v="0.43899640686042002"/>
    <s v="EMP"/>
    <n v="17"/>
    <s v="Gold"/>
    <s v="Chicago"/>
    <s v="On-time"/>
    <s v="On-time"/>
    <s v="Missed"/>
    <s v="Missed"/>
    <s v="On-time"/>
    <s v="Missed"/>
  </r>
  <r>
    <x v="123"/>
    <n v="52"/>
    <n v="129692"/>
    <n v="522"/>
    <n v="0.76965601318527899"/>
    <x v="2"/>
    <x v="0"/>
    <n v="36955"/>
    <n v="0.26962402184802198"/>
    <s v="Self-employed"/>
    <n v="5"/>
    <s v="Business"/>
    <s v="Houston"/>
    <s v="Late"/>
    <s v="On-time"/>
    <s v="On-time"/>
    <s v="Late"/>
    <s v="On-time"/>
    <s v="Late"/>
  </r>
  <r>
    <x v="124"/>
    <n v="52"/>
    <n v="199402"/>
    <n v="427"/>
    <n v="0.35339878734467101"/>
    <x v="2"/>
    <x v="1"/>
    <m/>
    <n v="0.22949625198603299"/>
    <s v="EMP"/>
    <n v="16"/>
    <s v="Platinum"/>
    <s v="Chicago"/>
    <s v="On-time"/>
    <s v="On-time"/>
    <s v="Late"/>
    <s v="On-time"/>
    <s v="Missed"/>
    <s v="Missed"/>
  </r>
  <r>
    <x v="125"/>
    <n v="50"/>
    <n v="90880"/>
    <n v="800"/>
    <n v="0.351341999407006"/>
    <x v="5"/>
    <x v="1"/>
    <n v="89537"/>
    <n v="0.25627405946222998"/>
    <s v="employed"/>
    <n v="13"/>
    <s v="Gold"/>
    <s v="Los Angeles"/>
    <s v="On-time"/>
    <s v="On-time"/>
    <s v="Missed"/>
    <s v="Late"/>
    <s v="On-time"/>
    <s v="Late"/>
  </r>
  <r>
    <x v="126"/>
    <n v="22"/>
    <n v="118081"/>
    <n v="623"/>
    <n v="0.38143441252410198"/>
    <x v="5"/>
    <x v="0"/>
    <n v="16034"/>
    <n v="0.38502053671312297"/>
    <s v="EMP"/>
    <n v="10"/>
    <s v="Student"/>
    <s v="Los Angeles"/>
    <s v="Late"/>
    <s v="On-time"/>
    <s v="Late"/>
    <s v="Missed"/>
    <s v="Late"/>
    <s v="On-time"/>
  </r>
  <r>
    <x v="127"/>
    <n v="59"/>
    <n v="115497"/>
    <n v="693"/>
    <n v="0.39853344492228998"/>
    <x v="2"/>
    <x v="0"/>
    <n v="89537"/>
    <n v="0.25455390587150101"/>
    <s v="Unemployed"/>
    <n v="18"/>
    <s v="Standard"/>
    <s v="Phoenix"/>
    <s v="On-time"/>
    <s v="Late"/>
    <s v="Late"/>
    <s v="Missed"/>
    <s v="Missed"/>
    <s v="Late"/>
  </r>
  <r>
    <x v="128"/>
    <n v="56"/>
    <n v="199402"/>
    <n v="777"/>
    <n v="0.69010760158568796"/>
    <x v="3"/>
    <x v="1"/>
    <n v="96507"/>
    <n v="0.33287603003428401"/>
    <s v="retired"/>
    <n v="1"/>
    <s v="Gold"/>
    <s v="Los Angeles"/>
    <s v="Late"/>
    <s v="Missed"/>
    <s v="On-time"/>
    <s v="Missed"/>
    <s v="Missed"/>
    <s v="Missed"/>
  </r>
  <r>
    <x v="129"/>
    <n v="58"/>
    <n v="166836"/>
    <n v="781"/>
    <n v="0.58506581209531805"/>
    <x v="4"/>
    <x v="0"/>
    <n v="76445"/>
    <n v="0.302780291573994"/>
    <s v="Self-employed"/>
    <n v="2"/>
    <s v="Gold"/>
    <s v="Chicago"/>
    <s v="On-time"/>
    <s v="On-time"/>
    <s v="Missed"/>
    <s v="Missed"/>
    <s v="Late"/>
    <s v="Missed"/>
  </r>
  <r>
    <x v="130"/>
    <n v="45"/>
    <n v="187627"/>
    <n v="766"/>
    <n v="0.67541575387011699"/>
    <x v="3"/>
    <x v="0"/>
    <n v="20052"/>
    <n v="0.29246203875772298"/>
    <s v="EMP"/>
    <n v="10"/>
    <s v="Business"/>
    <s v="Los Angeles"/>
    <s v="On-time"/>
    <s v="On-time"/>
    <s v="On-time"/>
    <s v="On-time"/>
    <s v="Missed"/>
    <s v="Late"/>
  </r>
  <r>
    <x v="131"/>
    <n v="24"/>
    <n v="73141"/>
    <n v="717"/>
    <n v="0.63471302863734003"/>
    <x v="5"/>
    <x v="0"/>
    <n v="36913"/>
    <n v="0.37012923267522302"/>
    <s v="employed"/>
    <n v="5"/>
    <s v="Platinum"/>
    <s v="Houston"/>
    <s v="Late"/>
    <s v="Late"/>
    <s v="Missed"/>
    <s v="Late"/>
    <s v="Missed"/>
    <s v="On-time"/>
  </r>
  <r>
    <x v="132"/>
    <n v="26"/>
    <n v="180983"/>
    <n v="427"/>
    <n v="0.84290541363874605"/>
    <x v="0"/>
    <x v="0"/>
    <n v="77209"/>
    <n v="0.25214201001358"/>
    <s v="retired"/>
    <n v="13"/>
    <s v="Platinum"/>
    <s v="Los Angeles"/>
    <s v="Missed"/>
    <s v="Late"/>
    <s v="Missed"/>
    <s v="Late"/>
    <s v="Missed"/>
    <s v="Late"/>
  </r>
  <r>
    <x v="133"/>
    <n v="25"/>
    <n v="168772"/>
    <n v="388"/>
    <n v="0.28812289123817098"/>
    <x v="2"/>
    <x v="1"/>
    <n v="94363"/>
    <n v="0.25694134398177199"/>
    <s v="Self-employed"/>
    <n v="18"/>
    <s v="Standard"/>
    <s v="Phoenix"/>
    <s v="Missed"/>
    <s v="On-time"/>
    <s v="On-time"/>
    <s v="Missed"/>
    <s v="Missed"/>
    <s v="Missed"/>
  </r>
  <r>
    <x v="134"/>
    <n v="29"/>
    <n v="16252"/>
    <n v="441"/>
    <n v="0.57607170607678304"/>
    <x v="5"/>
    <x v="0"/>
    <n v="96056"/>
    <n v="0.379760284999975"/>
    <s v="employed"/>
    <n v="15"/>
    <s v="Student"/>
    <s v="Los Angeles"/>
    <s v="Late"/>
    <s v="On-time"/>
    <s v="Late"/>
    <s v="On-time"/>
    <s v="Missed"/>
    <s v="Late"/>
  </r>
  <r>
    <x v="135"/>
    <n v="51"/>
    <n v="118333"/>
    <n v="346"/>
    <n v="6.5235748753060402E-2"/>
    <x v="5"/>
    <x v="0"/>
    <n v="20081"/>
    <n v="0.201307467583134"/>
    <s v="employed"/>
    <n v="6"/>
    <s v="Standard"/>
    <s v="Chicago"/>
    <s v="On-time"/>
    <s v="On-time"/>
    <s v="Missed"/>
    <s v="Missed"/>
    <s v="Missed"/>
    <s v="Late"/>
  </r>
  <r>
    <x v="136"/>
    <n v="50"/>
    <n v="192247"/>
    <n v="387"/>
    <n v="0.236608885180628"/>
    <x v="4"/>
    <x v="0"/>
    <n v="28730"/>
    <n v="0.21197798091776701"/>
    <s v="Unemployed"/>
    <n v="7"/>
    <s v="Gold"/>
    <s v="Chicago"/>
    <s v="Missed"/>
    <s v="Missed"/>
    <s v="On-time"/>
    <s v="Missed"/>
    <s v="On-time"/>
    <s v="On-time"/>
  </r>
  <r>
    <x v="137"/>
    <n v="65"/>
    <n v="199294"/>
    <n v="505"/>
    <n v="0.48502932281303002"/>
    <x v="2"/>
    <x v="0"/>
    <n v="85107"/>
    <n v="0.17396857086563999"/>
    <s v="employed"/>
    <n v="18"/>
    <s v="Gold"/>
    <s v="Los Angeles"/>
    <s v="Late"/>
    <s v="Late"/>
    <s v="Missed"/>
    <s v="Missed"/>
    <s v="On-time"/>
    <s v="On-time"/>
  </r>
  <r>
    <x v="138"/>
    <n v="72"/>
    <n v="138961"/>
    <n v="402"/>
    <n v="0.58364132255090695"/>
    <x v="4"/>
    <x v="1"/>
    <n v="42556"/>
    <n v="0.38490109132765499"/>
    <s v="Unemployed"/>
    <n v="19"/>
    <s v="Platinum"/>
    <s v="Chicago"/>
    <s v="Missed"/>
    <s v="On-time"/>
    <s v="On-time"/>
    <s v="Late"/>
    <s v="Late"/>
    <s v="On-time"/>
  </r>
  <r>
    <x v="139"/>
    <n v="40"/>
    <n v="129548"/>
    <n v="794"/>
    <n v="0.47963685159408598"/>
    <x v="2"/>
    <x v="0"/>
    <n v="16693"/>
    <n v="0.28947630319187301"/>
    <s v="EMP"/>
    <n v="15"/>
    <s v="Student"/>
    <s v="Chicago"/>
    <s v="On-time"/>
    <s v="On-time"/>
    <s v="On-time"/>
    <s v="Late"/>
    <s v="Late"/>
    <s v="On-time"/>
  </r>
  <r>
    <x v="140"/>
    <n v="41"/>
    <n v="58088"/>
    <n v="567"/>
    <n v="0.38656151623746399"/>
    <x v="4"/>
    <x v="0"/>
    <n v="10951"/>
    <n v="0.168638485392093"/>
    <s v="Self-employed"/>
    <n v="6"/>
    <s v="Business"/>
    <s v="Phoenix"/>
    <s v="On-time"/>
    <s v="Late"/>
    <s v="Missed"/>
    <s v="On-time"/>
    <s v="Missed"/>
    <s v="On-time"/>
  </r>
  <r>
    <x v="141"/>
    <n v="54"/>
    <n v="30485"/>
    <n v="617"/>
    <n v="0.42211642450139197"/>
    <x v="3"/>
    <x v="0"/>
    <n v="76861"/>
    <n v="0.38538085623090601"/>
    <s v="EMP"/>
    <n v="8"/>
    <s v="Student"/>
    <s v="Houston"/>
    <s v="Late"/>
    <s v="On-time"/>
    <s v="Missed"/>
    <s v="Late"/>
    <s v="Missed"/>
    <s v="Late"/>
  </r>
  <r>
    <x v="142"/>
    <n v="52"/>
    <n v="178165"/>
    <n v="823"/>
    <n v="0.77388819528482"/>
    <x v="0"/>
    <x v="0"/>
    <n v="19977"/>
    <n v="0.24444578384245599"/>
    <s v="Unemployed"/>
    <n v="12"/>
    <s v="Gold"/>
    <s v="Phoenix"/>
    <s v="On-time"/>
    <s v="Late"/>
    <s v="On-time"/>
    <s v="Missed"/>
    <s v="On-time"/>
    <s v="Late"/>
  </r>
  <r>
    <x v="143"/>
    <n v="61"/>
    <n v="77292"/>
    <n v="414"/>
    <n v="0.42319356442397099"/>
    <x v="0"/>
    <x v="1"/>
    <n v="60348"/>
    <n v="0.21283219211631099"/>
    <s v="Unemployed"/>
    <n v="0"/>
    <s v="Business"/>
    <s v="New York"/>
    <s v="On-time"/>
    <s v="Late"/>
    <s v="Missed"/>
    <s v="On-time"/>
    <s v="On-time"/>
    <s v="On-time"/>
  </r>
  <r>
    <x v="144"/>
    <n v="57"/>
    <m/>
    <n v="694"/>
    <n v="0.84984832440870495"/>
    <x v="2"/>
    <x v="0"/>
    <n v="3494"/>
    <n v="0.28043214411230399"/>
    <s v="Unemployed"/>
    <n v="7"/>
    <s v="Student"/>
    <s v="Phoenix"/>
    <s v="On-time"/>
    <s v="Missed"/>
    <s v="On-time"/>
    <s v="Missed"/>
    <s v="Late"/>
    <s v="On-time"/>
  </r>
  <r>
    <x v="145"/>
    <n v="39"/>
    <n v="41790"/>
    <n v="681"/>
    <n v="0.65880341470822601"/>
    <x v="6"/>
    <x v="0"/>
    <n v="17913"/>
    <n v="0.44787236094678901"/>
    <s v="retired"/>
    <n v="3"/>
    <s v="Student"/>
    <s v="Los Angeles"/>
    <s v="Missed"/>
    <s v="Late"/>
    <s v="On-time"/>
    <s v="Late"/>
    <s v="Late"/>
    <s v="Missed"/>
  </r>
  <r>
    <x v="146"/>
    <n v="44"/>
    <n v="31364"/>
    <n v="757"/>
    <n v="0.59150746922964603"/>
    <x v="1"/>
    <x v="0"/>
    <n v="10942"/>
    <n v="0.260503780350342"/>
    <s v="employed"/>
    <n v="2"/>
    <s v="Business"/>
    <s v="Houston"/>
    <s v="Late"/>
    <s v="On-time"/>
    <s v="Late"/>
    <s v="Missed"/>
    <s v="Late"/>
    <s v="On-time"/>
  </r>
  <r>
    <x v="147"/>
    <n v="52"/>
    <n v="129692"/>
    <n v="826"/>
    <n v="0.26128061793579999"/>
    <x v="5"/>
    <x v="1"/>
    <n v="5539"/>
    <n v="0.35753388641155798"/>
    <s v="Self-employed"/>
    <n v="2"/>
    <s v="Gold"/>
    <s v="Los Angeles"/>
    <s v="Missed"/>
    <s v="Late"/>
    <s v="Missed"/>
    <s v="Late"/>
    <s v="Late"/>
    <s v="Late"/>
  </r>
  <r>
    <x v="148"/>
    <n v="18"/>
    <n v="15404"/>
    <n v="588"/>
    <n v="0.68704763227992505"/>
    <x v="5"/>
    <x v="0"/>
    <n v="91432"/>
    <n v="0.37270800204509502"/>
    <s v="EMP"/>
    <n v="12"/>
    <s v="Student"/>
    <s v="New York"/>
    <s v="On-time"/>
    <s v="On-time"/>
    <s v="On-time"/>
    <s v="Late"/>
    <s v="On-time"/>
    <s v="On-time"/>
  </r>
  <r>
    <x v="149"/>
    <n v="52"/>
    <n v="32955"/>
    <n v="302"/>
    <n v="0.40124588445030002"/>
    <x v="2"/>
    <x v="0"/>
    <n v="19796"/>
    <n v="0.34432732980064001"/>
    <s v="EMP"/>
    <n v="7"/>
    <s v="Business"/>
    <s v="Houston"/>
    <s v="Late"/>
    <s v="On-time"/>
    <s v="On-time"/>
    <s v="Late"/>
    <s v="On-time"/>
    <s v="Late"/>
  </r>
  <r>
    <x v="150"/>
    <n v="54"/>
    <n v="53513"/>
    <n v="328"/>
    <n v="0.26111204839885999"/>
    <x v="4"/>
    <x v="0"/>
    <n v="95276"/>
    <n v="0.42710716496742601"/>
    <s v="employed"/>
    <n v="6"/>
    <s v="Gold"/>
    <s v="Chicago"/>
    <s v="On-time"/>
    <s v="Late"/>
    <s v="Late"/>
    <s v="Missed"/>
    <s v="Late"/>
    <s v="Missed"/>
  </r>
  <r>
    <x v="151"/>
    <n v="64"/>
    <n v="189197"/>
    <n v="524"/>
    <n v="0.60256872261587502"/>
    <x v="6"/>
    <x v="1"/>
    <n v="6118"/>
    <n v="0.22928839953677199"/>
    <s v="Unemployed"/>
    <n v="0"/>
    <s v="Business"/>
    <s v="Phoenix"/>
    <s v="On-time"/>
    <s v="Missed"/>
    <s v="On-time"/>
    <s v="Late"/>
    <s v="On-time"/>
    <s v="Late"/>
  </r>
  <r>
    <x v="152"/>
    <n v="31"/>
    <n v="97986"/>
    <n v="326"/>
    <n v="0.222410787886692"/>
    <x v="3"/>
    <x v="0"/>
    <n v="34897"/>
    <n v="0.19566651569496599"/>
    <s v="Unemployed"/>
    <n v="15"/>
    <s v="Business"/>
    <s v="Los Angeles"/>
    <s v="On-time"/>
    <s v="Late"/>
    <s v="Missed"/>
    <s v="On-time"/>
    <s v="Missed"/>
    <s v="Missed"/>
  </r>
  <r>
    <x v="153"/>
    <n v="20"/>
    <m/>
    <n v="718"/>
    <n v="0.34755170757408299"/>
    <x v="4"/>
    <x v="0"/>
    <n v="39006"/>
    <n v="0.19370333439750001"/>
    <s v="Unemployed"/>
    <n v="5"/>
    <s v="Student"/>
    <s v="New York"/>
    <s v="On-time"/>
    <s v="Missed"/>
    <s v="Missed"/>
    <s v="Late"/>
    <s v="Late"/>
    <s v="Missed"/>
  </r>
  <r>
    <x v="154"/>
    <n v="18"/>
    <n v="116570"/>
    <n v="823"/>
    <n v="0.49797681770621699"/>
    <x v="4"/>
    <x v="0"/>
    <n v="36342"/>
    <n v="0.28555315847002"/>
    <s v="EMP"/>
    <n v="6"/>
    <s v="Gold"/>
    <s v="Chicago"/>
    <s v="Missed"/>
    <s v="Missed"/>
    <s v="Missed"/>
    <s v="Late"/>
    <s v="Late"/>
    <s v="Late"/>
  </r>
  <r>
    <x v="155"/>
    <n v="22"/>
    <n v="119185"/>
    <n v="711"/>
    <n v="0.94368428482294497"/>
    <x v="2"/>
    <x v="0"/>
    <n v="44454"/>
    <n v="0.20529533421594701"/>
    <s v="employed"/>
    <n v="11"/>
    <s v="Student"/>
    <s v="Phoenix"/>
    <s v="Late"/>
    <s v="Missed"/>
    <s v="On-time"/>
    <s v="Late"/>
    <s v="Missed"/>
    <s v="Missed"/>
  </r>
  <r>
    <x v="156"/>
    <n v="43"/>
    <n v="136465"/>
    <n v="823"/>
    <n v="0.36261684884150203"/>
    <x v="2"/>
    <x v="0"/>
    <n v="92381"/>
    <n v="0.31475409118653203"/>
    <s v="employed"/>
    <n v="8"/>
    <s v="Standard"/>
    <s v="Chicago"/>
    <s v="On-time"/>
    <s v="Late"/>
    <s v="Late"/>
    <s v="Late"/>
    <s v="Late"/>
    <s v="Missed"/>
  </r>
  <r>
    <x v="157"/>
    <n v="72"/>
    <n v="21801"/>
    <n v="805"/>
    <n v="0.40835669613988401"/>
    <x v="5"/>
    <x v="1"/>
    <n v="95267"/>
    <n v="0.30769884197248898"/>
    <s v="retired"/>
    <n v="10"/>
    <s v="Standard"/>
    <s v="Phoenix"/>
    <s v="On-time"/>
    <s v="On-time"/>
    <s v="Late"/>
    <s v="Late"/>
    <s v="Missed"/>
    <s v="Missed"/>
  </r>
  <r>
    <x v="158"/>
    <n v="31"/>
    <n v="15404"/>
    <n v="316"/>
    <n v="0.64646901088432895"/>
    <x v="2"/>
    <x v="0"/>
    <n v="71791"/>
    <n v="0.40185733031860399"/>
    <s v="Self-employed"/>
    <n v="9"/>
    <s v="Gold"/>
    <s v="Houston"/>
    <s v="Late"/>
    <s v="On-time"/>
    <s v="On-time"/>
    <s v="On-time"/>
    <s v="Missed"/>
    <s v="On-time"/>
  </r>
  <r>
    <x v="159"/>
    <n v="56"/>
    <n v="54081"/>
    <n v="566"/>
    <n v="0.25234086232479003"/>
    <x v="2"/>
    <x v="0"/>
    <n v="43927"/>
    <n v="0.32911443082360398"/>
    <s v="employed"/>
    <n v="0"/>
    <s v="Business"/>
    <s v="Chicago"/>
    <s v="On-time"/>
    <s v="Late"/>
    <s v="Missed"/>
    <s v="On-time"/>
    <s v="Late"/>
    <s v="On-time"/>
  </r>
  <r>
    <x v="160"/>
    <n v="44"/>
    <n v="74494"/>
    <n v="319"/>
    <n v="0.58856127620418297"/>
    <x v="2"/>
    <x v="0"/>
    <n v="48397"/>
    <n v="0.25838481441385502"/>
    <s v="EMP"/>
    <n v="17"/>
    <s v="Student"/>
    <s v="Chicago"/>
    <s v="On-time"/>
    <s v="Late"/>
    <s v="Missed"/>
    <s v="On-time"/>
    <s v="On-time"/>
    <s v="Late"/>
  </r>
  <r>
    <x v="161"/>
    <n v="26"/>
    <n v="89740"/>
    <n v="385"/>
    <n v="0.74118536152331704"/>
    <x v="5"/>
    <x v="0"/>
    <n v="96485"/>
    <n v="0.34108492044326799"/>
    <s v="retired"/>
    <n v="3"/>
    <s v="Student"/>
    <s v="Chicago"/>
    <s v="Late"/>
    <s v="Missed"/>
    <s v="Missed"/>
    <s v="Late"/>
    <s v="On-time"/>
    <s v="Late"/>
  </r>
  <r>
    <x v="162"/>
    <n v="32"/>
    <n v="116570"/>
    <n v="402"/>
    <n v="0.43858102305777902"/>
    <x v="3"/>
    <x v="0"/>
    <n v="26000"/>
    <n v="0.19698059801020501"/>
    <s v="retired"/>
    <n v="4"/>
    <s v="Gold"/>
    <s v="Houston"/>
    <s v="Missed"/>
    <s v="Missed"/>
    <s v="On-time"/>
    <s v="Late"/>
    <s v="Late"/>
    <s v="Late"/>
  </r>
  <r>
    <x v="163"/>
    <n v="32"/>
    <n v="117795"/>
    <n v="670"/>
    <n v="0.70523085627937299"/>
    <x v="3"/>
    <x v="1"/>
    <n v="14417"/>
    <n v="0.29618593119756798"/>
    <s v="retired"/>
    <n v="8"/>
    <s v="Gold"/>
    <s v="New York"/>
    <s v="Missed"/>
    <s v="Missed"/>
    <s v="On-time"/>
    <s v="Missed"/>
    <s v="On-time"/>
    <s v="On-time"/>
  </r>
  <r>
    <x v="164"/>
    <n v="43"/>
    <n v="97844"/>
    <n v="391"/>
    <n v="0.55828998464236101"/>
    <x v="1"/>
    <x v="0"/>
    <m/>
    <n v="0.33194012335955803"/>
    <s v="Unemployed"/>
    <n v="16"/>
    <s v="Standard"/>
    <s v="Phoenix"/>
    <s v="Missed"/>
    <s v="Late"/>
    <s v="Late"/>
    <s v="Missed"/>
    <s v="Missed"/>
    <s v="Late"/>
  </r>
  <r>
    <x v="165"/>
    <n v="59"/>
    <n v="100999"/>
    <n v="457"/>
    <n v="0.35386360723924298"/>
    <x v="1"/>
    <x v="0"/>
    <n v="50989"/>
    <n v="0.31293175981501198"/>
    <s v="Self-employed"/>
    <n v="2"/>
    <s v="Platinum"/>
    <s v="Chicago"/>
    <s v="Missed"/>
    <s v="Missed"/>
    <s v="Late"/>
    <s v="On-time"/>
    <s v="Late"/>
    <s v="Missed"/>
  </r>
  <r>
    <x v="166"/>
    <n v="30"/>
    <n v="21970"/>
    <n v="328"/>
    <n v="0.46043906282069802"/>
    <x v="2"/>
    <x v="0"/>
    <n v="85107"/>
    <n v="0.34150650949359801"/>
    <s v="EMP"/>
    <n v="15"/>
    <s v="Gold"/>
    <s v="Houston"/>
    <s v="On-time"/>
    <s v="On-time"/>
    <s v="Missed"/>
    <s v="Missed"/>
    <s v="Late"/>
    <s v="On-time"/>
  </r>
  <r>
    <x v="167"/>
    <n v="68"/>
    <n v="185883"/>
    <n v="604"/>
    <n v="0.42404853200395098"/>
    <x v="1"/>
    <x v="0"/>
    <n v="13761"/>
    <n v="0.23559539842871999"/>
    <s v="EMP"/>
    <n v="4"/>
    <s v="Platinum"/>
    <s v="New York"/>
    <s v="On-time"/>
    <s v="Late"/>
    <s v="Missed"/>
    <s v="Missed"/>
    <s v="On-time"/>
    <s v="Late"/>
  </r>
  <r>
    <x v="168"/>
    <n v="49"/>
    <n v="53513"/>
    <n v="339"/>
    <n v="0.482472348436704"/>
    <x v="5"/>
    <x v="0"/>
    <n v="26549"/>
    <n v="0.41520314028095101"/>
    <s v="retired"/>
    <n v="15"/>
    <s v="Gold"/>
    <s v="Phoenix"/>
    <s v="On-time"/>
    <s v="Late"/>
    <s v="Missed"/>
    <s v="On-time"/>
    <s v="Missed"/>
    <s v="Late"/>
  </r>
  <r>
    <x v="169"/>
    <n v="56"/>
    <n v="150230"/>
    <n v="766"/>
    <n v="0.53054357984396505"/>
    <x v="3"/>
    <x v="0"/>
    <n v="5539"/>
    <n v="0.48221689493956998"/>
    <s v="EMP"/>
    <n v="2"/>
    <s v="Business"/>
    <s v="Houston"/>
    <s v="On-time"/>
    <s v="Missed"/>
    <s v="On-time"/>
    <s v="On-time"/>
    <s v="Late"/>
    <s v="On-time"/>
  </r>
  <r>
    <x v="170"/>
    <n v="66"/>
    <n v="38959"/>
    <n v="310"/>
    <n v="0.61763998699437095"/>
    <x v="4"/>
    <x v="1"/>
    <n v="67460"/>
    <n v="0.13973238551414"/>
    <s v="Self-employed"/>
    <n v="19"/>
    <s v="Business"/>
    <s v="Phoenix"/>
    <s v="Missed"/>
    <s v="Late"/>
    <s v="Late"/>
    <s v="Missed"/>
    <s v="Late"/>
    <s v="On-time"/>
  </r>
  <r>
    <x v="171"/>
    <n v="69"/>
    <n v="172504"/>
    <n v="677"/>
    <n v="0.60173364991742695"/>
    <x v="3"/>
    <x v="0"/>
    <n v="98999"/>
    <n v="0.17844020040457501"/>
    <s v="Self-employed"/>
    <n v="14"/>
    <s v="Standard"/>
    <s v="Chicago"/>
    <s v="Missed"/>
    <s v="On-time"/>
    <s v="On-time"/>
    <s v="Missed"/>
    <s v="On-time"/>
    <s v="Late"/>
  </r>
  <r>
    <x v="172"/>
    <n v="49"/>
    <n v="101188"/>
    <n v="818"/>
    <n v="0.05"/>
    <x v="3"/>
    <x v="0"/>
    <n v="74403"/>
    <n v="0.30430830080243798"/>
    <s v="employed"/>
    <n v="2"/>
    <s v="Standard"/>
    <s v="New York"/>
    <s v="On-time"/>
    <s v="On-time"/>
    <s v="Missed"/>
    <s v="On-time"/>
    <s v="On-time"/>
    <s v="Late"/>
  </r>
  <r>
    <x v="173"/>
    <n v="21"/>
    <n v="47217"/>
    <n v="383"/>
    <n v="0.48053836224559399"/>
    <x v="5"/>
    <x v="1"/>
    <n v="31316"/>
    <n v="0.27434490194471201"/>
    <s v="employed"/>
    <n v="19"/>
    <s v="Platinum"/>
    <s v="Houston"/>
    <s v="On-time"/>
    <s v="Late"/>
    <s v="On-time"/>
    <s v="Missed"/>
    <s v="Missed"/>
    <s v="Missed"/>
  </r>
  <r>
    <x v="174"/>
    <n v="47"/>
    <n v="72458"/>
    <n v="407"/>
    <n v="0.19811561731864699"/>
    <x v="1"/>
    <x v="0"/>
    <n v="37445"/>
    <n v="0.48964124057727798"/>
    <s v="employed"/>
    <n v="13"/>
    <s v="Gold"/>
    <s v="New York"/>
    <s v="Late"/>
    <s v="Missed"/>
    <s v="Missed"/>
    <s v="Late"/>
    <s v="Late"/>
    <s v="Late"/>
  </r>
  <r>
    <x v="175"/>
    <n v="54"/>
    <n v="76476"/>
    <n v="788"/>
    <n v="0.44485454950653402"/>
    <x v="4"/>
    <x v="0"/>
    <n v="69963"/>
    <n v="0.321978432342446"/>
    <s v="Self-employed"/>
    <n v="15"/>
    <s v="Student"/>
    <s v="Chicago"/>
    <s v="On-time"/>
    <s v="Missed"/>
    <s v="Late"/>
    <s v="Missed"/>
    <s v="Missed"/>
    <s v="Late"/>
  </r>
  <r>
    <x v="176"/>
    <n v="40"/>
    <n v="159356"/>
    <n v="339"/>
    <n v="0.47524208243781602"/>
    <x v="5"/>
    <x v="0"/>
    <n v="68636"/>
    <n v="0.43925452537259502"/>
    <s v="Self-employed"/>
    <n v="16"/>
    <s v="Standard"/>
    <s v="New York"/>
    <s v="Late"/>
    <s v="On-time"/>
    <s v="Missed"/>
    <s v="On-time"/>
    <s v="Missed"/>
    <s v="Late"/>
  </r>
  <r>
    <x v="177"/>
    <n v="56"/>
    <n v="165580"/>
    <n v="447"/>
    <n v="0.69522967161694105"/>
    <x v="2"/>
    <x v="0"/>
    <m/>
    <n v="0.1"/>
    <s v="Self-employed"/>
    <n v="19"/>
    <s v="Student"/>
    <s v="New York"/>
    <s v="Late"/>
    <s v="Late"/>
    <s v="Late"/>
    <s v="Late"/>
    <s v="On-time"/>
    <s v="On-time"/>
  </r>
  <r>
    <x v="178"/>
    <n v="62"/>
    <n v="108610"/>
    <n v="446"/>
    <n v="0.49397690657998"/>
    <x v="0"/>
    <x v="0"/>
    <n v="11061"/>
    <n v="0.38141694833323497"/>
    <s v="employed"/>
    <n v="17"/>
    <s v="Student"/>
    <s v="Los Angeles"/>
    <s v="Late"/>
    <s v="Late"/>
    <s v="Missed"/>
    <s v="Late"/>
    <s v="On-time"/>
    <s v="Missed"/>
  </r>
  <r>
    <x v="179"/>
    <n v="32"/>
    <n v="182280"/>
    <n v="467"/>
    <n v="0.55184360366865204"/>
    <x v="3"/>
    <x v="0"/>
    <n v="74433"/>
    <n v="0.22844831807416699"/>
    <s v="retired"/>
    <n v="17"/>
    <s v="Gold"/>
    <s v="New York"/>
    <s v="Late"/>
    <s v="Late"/>
    <s v="On-time"/>
    <s v="Late"/>
    <s v="Missed"/>
    <s v="Missed"/>
  </r>
  <r>
    <x v="180"/>
    <n v="60"/>
    <n v="127816"/>
    <n v="638"/>
    <n v="0.65861127613148496"/>
    <x v="0"/>
    <x v="0"/>
    <n v="50183"/>
    <n v="0.22684574303803401"/>
    <s v="retired"/>
    <n v="13"/>
    <s v="Platinum"/>
    <s v="Phoenix"/>
    <s v="On-time"/>
    <s v="Missed"/>
    <s v="Late"/>
    <s v="Missed"/>
    <s v="On-time"/>
    <s v="Late"/>
  </r>
  <r>
    <x v="181"/>
    <n v="46"/>
    <n v="149415"/>
    <n v="605"/>
    <n v="0.74555045196386005"/>
    <x v="5"/>
    <x v="0"/>
    <n v="30549"/>
    <n v="0.275164197358787"/>
    <s v="EMP"/>
    <n v="17"/>
    <s v="Gold"/>
    <s v="Houston"/>
    <s v="Late"/>
    <s v="Late"/>
    <s v="On-time"/>
    <s v="Missed"/>
    <s v="Missed"/>
    <s v="On-time"/>
  </r>
  <r>
    <x v="182"/>
    <n v="53"/>
    <n v="120616"/>
    <n v="469"/>
    <n v="0.47539721532861701"/>
    <x v="5"/>
    <x v="0"/>
    <n v="69666"/>
    <n v="0.15754163602689"/>
    <s v="retired"/>
    <n v="14"/>
    <s v="Standard"/>
    <s v="Los Angeles"/>
    <s v="Late"/>
    <s v="Missed"/>
    <s v="Late"/>
    <s v="Missed"/>
    <s v="On-time"/>
    <s v="Missed"/>
  </r>
  <r>
    <x v="183"/>
    <n v="30"/>
    <n v="199943"/>
    <n v="429"/>
    <n v="0.51883588833608096"/>
    <x v="5"/>
    <x v="0"/>
    <n v="10951"/>
    <n v="0.34427855253218498"/>
    <s v="Unemployed"/>
    <n v="14"/>
    <s v="Student"/>
    <s v="Houston"/>
    <s v="Late"/>
    <s v="Late"/>
    <s v="Late"/>
    <s v="Missed"/>
    <s v="Late"/>
    <s v="Missed"/>
  </r>
  <r>
    <x v="184"/>
    <n v="49"/>
    <n v="178551"/>
    <n v="811"/>
    <n v="0.50200466044845005"/>
    <x v="0"/>
    <x v="0"/>
    <n v="47721"/>
    <n v="0.319071496671679"/>
    <s v="employed"/>
    <n v="5"/>
    <s v="Gold"/>
    <s v="Houston"/>
    <s v="On-time"/>
    <s v="Late"/>
    <s v="On-time"/>
    <s v="Missed"/>
    <s v="Late"/>
    <s v="Late"/>
  </r>
  <r>
    <x v="185"/>
    <n v="24"/>
    <n v="68932"/>
    <n v="792"/>
    <n v="0.39148020711378401"/>
    <x v="5"/>
    <x v="0"/>
    <n v="84521"/>
    <n v="0.32661922481872702"/>
    <s v="Self-employed"/>
    <n v="14"/>
    <s v="Gold"/>
    <s v="Chicago"/>
    <s v="On-time"/>
    <s v="On-time"/>
    <s v="Missed"/>
    <s v="Late"/>
    <s v="Late"/>
    <s v="On-time"/>
  </r>
  <r>
    <x v="186"/>
    <n v="68"/>
    <n v="23702"/>
    <n v="401"/>
    <n v="0.34617695531152198"/>
    <x v="2"/>
    <x v="0"/>
    <n v="31198"/>
    <n v="0.38870310221329002"/>
    <s v="retired"/>
    <n v="17"/>
    <s v="Gold"/>
    <s v="Chicago"/>
    <s v="Late"/>
    <s v="Late"/>
    <s v="Missed"/>
    <s v="On-time"/>
    <s v="On-time"/>
    <s v="On-time"/>
  </r>
  <r>
    <x v="187"/>
    <n v="39"/>
    <m/>
    <n v="826"/>
    <n v="0.05"/>
    <x v="5"/>
    <x v="1"/>
    <n v="7796"/>
    <n v="0.45147820461941501"/>
    <s v="employed"/>
    <n v="3"/>
    <s v="Standard"/>
    <s v="Los Angeles"/>
    <s v="Missed"/>
    <s v="On-time"/>
    <s v="Late"/>
    <s v="On-time"/>
    <s v="On-time"/>
    <s v="Late"/>
  </r>
  <r>
    <x v="188"/>
    <n v="45"/>
    <n v="67528"/>
    <n v="526"/>
    <n v="0.284667813095134"/>
    <x v="6"/>
    <x v="0"/>
    <n v="64950"/>
    <n v="0.26362889509124499"/>
    <s v="retired"/>
    <n v="7"/>
    <s v="Platinum"/>
    <s v="Chicago"/>
    <s v="On-time"/>
    <s v="On-time"/>
    <s v="On-time"/>
    <s v="Late"/>
    <s v="Missed"/>
    <s v="Late"/>
  </r>
  <r>
    <x v="189"/>
    <n v="19"/>
    <n v="162851"/>
    <n v="523"/>
    <n v="0.14427383335803901"/>
    <x v="1"/>
    <x v="0"/>
    <n v="44437"/>
    <n v="0.34773506397364701"/>
    <s v="employed"/>
    <n v="14"/>
    <s v="Gold"/>
    <s v="Chicago"/>
    <s v="Missed"/>
    <s v="On-time"/>
    <s v="On-time"/>
    <s v="Late"/>
    <s v="On-time"/>
    <s v="Late"/>
  </r>
  <r>
    <x v="190"/>
    <n v="59"/>
    <n v="183513"/>
    <n v="800"/>
    <n v="0.75103969689064998"/>
    <x v="0"/>
    <x v="1"/>
    <n v="49016"/>
    <n v="0.32929882083349699"/>
    <s v="Self-employed"/>
    <n v="2"/>
    <s v="Standard"/>
    <s v="Chicago"/>
    <s v="Missed"/>
    <s v="On-time"/>
    <s v="Late"/>
    <s v="Late"/>
    <s v="Late"/>
    <s v="On-time"/>
  </r>
  <r>
    <x v="191"/>
    <n v="62"/>
    <n v="42192"/>
    <n v="301"/>
    <n v="0.53768320165948502"/>
    <x v="6"/>
    <x v="0"/>
    <m/>
    <n v="0.33776145063289398"/>
    <s v="employed"/>
    <n v="14"/>
    <s v="Student"/>
    <s v="Houston"/>
    <s v="Missed"/>
    <s v="Missed"/>
    <s v="Late"/>
    <s v="Missed"/>
    <s v="On-time"/>
    <s v="Late"/>
  </r>
  <r>
    <x v="192"/>
    <n v="74"/>
    <n v="32019"/>
    <n v="475"/>
    <n v="0.47481220541063301"/>
    <x v="5"/>
    <x v="0"/>
    <n v="22835"/>
    <n v="0.339259766446598"/>
    <s v="Self-employed"/>
    <n v="12"/>
    <s v="Business"/>
    <s v="Los Angeles"/>
    <s v="On-time"/>
    <s v="On-time"/>
    <s v="On-time"/>
    <s v="On-time"/>
    <s v="Missed"/>
    <s v="Missed"/>
  </r>
  <r>
    <x v="193"/>
    <n v="70"/>
    <n v="67638"/>
    <n v="612"/>
    <n v="0.35650296278378302"/>
    <x v="2"/>
    <x v="0"/>
    <n v="34897"/>
    <n v="0.45905033445648302"/>
    <s v="employed"/>
    <n v="8"/>
    <s v="Standard"/>
    <s v="Houston"/>
    <s v="Missed"/>
    <s v="Late"/>
    <s v="Missed"/>
    <s v="Missed"/>
    <s v="Missed"/>
    <s v="Missed"/>
  </r>
  <r>
    <x v="194"/>
    <n v="23"/>
    <n v="198401"/>
    <n v="820"/>
    <n v="0.505955852646924"/>
    <x v="3"/>
    <x v="1"/>
    <n v="42556"/>
    <n v="0.25403231315107"/>
    <s v="EMP"/>
    <n v="1"/>
    <s v="Business"/>
    <s v="Phoenix"/>
    <s v="Missed"/>
    <s v="Missed"/>
    <s v="Missed"/>
    <s v="Late"/>
    <s v="On-time"/>
    <s v="Late"/>
  </r>
  <r>
    <x v="195"/>
    <n v="45"/>
    <n v="153429"/>
    <n v="836"/>
    <n v="0.33040402446893302"/>
    <x v="4"/>
    <x v="0"/>
    <m/>
    <n v="0.147426409679631"/>
    <s v="retired"/>
    <n v="7"/>
    <s v="Gold"/>
    <s v="Houston"/>
    <s v="Late"/>
    <s v="On-time"/>
    <s v="Missed"/>
    <s v="Late"/>
    <s v="Late"/>
    <s v="Missed"/>
  </r>
  <r>
    <x v="196"/>
    <n v="45"/>
    <n v="141020"/>
    <n v="670"/>
    <n v="0.53480371132411997"/>
    <x v="1"/>
    <x v="0"/>
    <n v="39259"/>
    <n v="0.23021262313841101"/>
    <s v="retired"/>
    <n v="19"/>
    <s v="Gold"/>
    <s v="Phoenix"/>
    <s v="On-time"/>
    <s v="Late"/>
    <s v="On-time"/>
    <s v="Missed"/>
    <s v="Late"/>
    <s v="Missed"/>
  </r>
  <r>
    <x v="197"/>
    <n v="61"/>
    <n v="59238"/>
    <n v="847"/>
    <n v="0.54914679658427001"/>
    <x v="4"/>
    <x v="1"/>
    <n v="22835"/>
    <n v="0.37572669335353998"/>
    <s v="Unemployed"/>
    <n v="16"/>
    <s v="Standard"/>
    <s v="New York"/>
    <s v="On-time"/>
    <s v="Missed"/>
    <s v="Missed"/>
    <s v="On-time"/>
    <s v="On-time"/>
    <s v="On-time"/>
  </r>
  <r>
    <x v="198"/>
    <n v="61"/>
    <n v="88847"/>
    <n v="751"/>
    <n v="0.327723259528651"/>
    <x v="5"/>
    <x v="0"/>
    <n v="72809"/>
    <n v="0.30233295086471701"/>
    <s v="employed"/>
    <n v="12"/>
    <s v="Business"/>
    <s v="New York"/>
    <s v="Missed"/>
    <s v="Late"/>
    <s v="Late"/>
    <s v="On-time"/>
    <s v="Missed"/>
    <s v="Missed"/>
  </r>
  <r>
    <x v="199"/>
    <n v="37"/>
    <n v="69098"/>
    <n v="648"/>
    <n v="0.32390760703551802"/>
    <x v="1"/>
    <x v="0"/>
    <n v="85014"/>
    <n v="0.25324006595050003"/>
    <s v="retired"/>
    <n v="0"/>
    <s v="Gold"/>
    <s v="Phoenix"/>
    <s v="Late"/>
    <s v="Late"/>
    <s v="Missed"/>
    <s v="On-time"/>
    <s v="On-time"/>
    <s v="Late"/>
  </r>
  <r>
    <x v="200"/>
    <n v="47"/>
    <n v="62295"/>
    <n v="383"/>
    <n v="0.69243987091902304"/>
    <x v="1"/>
    <x v="0"/>
    <n v="49016"/>
    <n v="0.192350273159035"/>
    <s v="employed"/>
    <n v="1"/>
    <s v="Student"/>
    <s v="Phoenix"/>
    <s v="On-time"/>
    <s v="Late"/>
    <s v="Late"/>
    <s v="Late"/>
    <s v="Missed"/>
    <s v="On-time"/>
  </r>
  <r>
    <x v="201"/>
    <n v="28"/>
    <n v="164143"/>
    <n v="310"/>
    <n v="0.48942800914173901"/>
    <x v="2"/>
    <x v="0"/>
    <n v="95376"/>
    <n v="0.322128612173053"/>
    <s v="EMP"/>
    <n v="14"/>
    <s v="Platinum"/>
    <s v="Houston"/>
    <s v="Missed"/>
    <s v="Missed"/>
    <s v="Missed"/>
    <s v="Missed"/>
    <s v="On-time"/>
    <s v="Missed"/>
  </r>
  <r>
    <x v="202"/>
    <n v="72"/>
    <n v="143778"/>
    <n v="352"/>
    <n v="0.34379591414702099"/>
    <x v="1"/>
    <x v="0"/>
    <n v="10778"/>
    <n v="0.36445062752738"/>
    <s v="employed"/>
    <n v="11"/>
    <s v="Platinum"/>
    <s v="Phoenix"/>
    <s v="Missed"/>
    <s v="On-time"/>
    <s v="Late"/>
    <s v="Late"/>
    <s v="Missed"/>
    <s v="Late"/>
  </r>
  <r>
    <x v="203"/>
    <n v="45"/>
    <n v="154487"/>
    <n v="725"/>
    <n v="0.42589873966209602"/>
    <x v="0"/>
    <x v="0"/>
    <n v="95930"/>
    <n v="0.33058720550960202"/>
    <s v="employed"/>
    <n v="13"/>
    <s v="Gold"/>
    <s v="Los Angeles"/>
    <s v="Missed"/>
    <s v="Late"/>
    <s v="Late"/>
    <s v="Missed"/>
    <s v="Missed"/>
    <s v="Missed"/>
  </r>
  <r>
    <x v="204"/>
    <n v="42"/>
    <n v="107658"/>
    <n v="836"/>
    <n v="0.29788118265867802"/>
    <x v="6"/>
    <x v="0"/>
    <n v="27697"/>
    <n v="0.27466696688450498"/>
    <s v="Unemployed"/>
    <n v="1"/>
    <s v="Business"/>
    <s v="New York"/>
    <s v="Late"/>
    <s v="Missed"/>
    <s v="On-time"/>
    <s v="Late"/>
    <s v="Late"/>
    <s v="On-time"/>
  </r>
  <r>
    <x v="205"/>
    <n v="56"/>
    <n v="166456"/>
    <n v="522"/>
    <n v="0.48656328386761599"/>
    <x v="6"/>
    <x v="1"/>
    <n v="33772"/>
    <n v="0.314664128429746"/>
    <s v="retired"/>
    <n v="17"/>
    <s v="Gold"/>
    <s v="New York"/>
    <s v="On-time"/>
    <s v="On-time"/>
    <s v="Missed"/>
    <s v="Late"/>
    <s v="Missed"/>
    <s v="On-time"/>
  </r>
  <r>
    <x v="206"/>
    <n v="50"/>
    <n v="36447"/>
    <n v="610"/>
    <n v="0.66632566153289297"/>
    <x v="6"/>
    <x v="0"/>
    <n v="42637"/>
    <n v="0.314084296655741"/>
    <s v="employed"/>
    <n v="6"/>
    <s v="Business"/>
    <s v="Phoenix"/>
    <s v="On-time"/>
    <s v="Missed"/>
    <s v="Missed"/>
    <s v="Late"/>
    <s v="Late"/>
    <s v="Late"/>
  </r>
  <r>
    <x v="207"/>
    <n v="18"/>
    <n v="165159"/>
    <n v="679"/>
    <n v="0.49446586648114699"/>
    <x v="0"/>
    <x v="0"/>
    <n v="3081"/>
    <n v="0.31896969312176598"/>
    <s v="Self-employed"/>
    <n v="5"/>
    <s v="Student"/>
    <s v="Chicago"/>
    <s v="Missed"/>
    <s v="Missed"/>
    <s v="On-time"/>
    <s v="On-time"/>
    <s v="Late"/>
    <s v="On-time"/>
  </r>
  <r>
    <x v="208"/>
    <n v="74"/>
    <m/>
    <n v="709"/>
    <n v="0.97272668873507695"/>
    <x v="4"/>
    <x v="0"/>
    <m/>
    <n v="0.18156950489808699"/>
    <s v="EMP"/>
    <n v="13"/>
    <s v="Business"/>
    <s v="Chicago"/>
    <s v="On-time"/>
    <s v="On-time"/>
    <s v="Missed"/>
    <s v="Missed"/>
    <s v="Missed"/>
    <s v="On-time"/>
  </r>
  <r>
    <x v="209"/>
    <n v="44"/>
    <n v="40934"/>
    <n v="566"/>
    <n v="0.58427191360980002"/>
    <x v="2"/>
    <x v="0"/>
    <n v="8828"/>
    <n v="0.31973263506148702"/>
    <s v="employed"/>
    <n v="7"/>
    <s v="Gold"/>
    <s v="Phoenix"/>
    <s v="On-time"/>
    <s v="On-time"/>
    <s v="On-time"/>
    <s v="Missed"/>
    <s v="Missed"/>
    <s v="Missed"/>
  </r>
  <r>
    <x v="210"/>
    <n v="74"/>
    <n v="58088"/>
    <n v="701"/>
    <n v="0.54599088956844199"/>
    <x v="1"/>
    <x v="0"/>
    <n v="1217"/>
    <n v="0.25594035315337998"/>
    <s v="EMP"/>
    <n v="1"/>
    <s v="Student"/>
    <s v="Los Angeles"/>
    <s v="Late"/>
    <s v="On-time"/>
    <s v="Missed"/>
    <s v="Missed"/>
    <s v="On-time"/>
    <s v="On-time"/>
  </r>
  <r>
    <x v="211"/>
    <n v="69"/>
    <n v="149415"/>
    <n v="618"/>
    <n v="0.31833957380683803"/>
    <x v="0"/>
    <x v="0"/>
    <n v="83604"/>
    <n v="0.40406186060097499"/>
    <s v="retired"/>
    <n v="16"/>
    <s v="Standard"/>
    <s v="Chicago"/>
    <s v="Late"/>
    <s v="Late"/>
    <s v="Missed"/>
    <s v="On-time"/>
    <s v="On-time"/>
    <s v="Missed"/>
  </r>
  <r>
    <x v="212"/>
    <n v="30"/>
    <n v="84836"/>
    <n v="776"/>
    <n v="0.45229331063146599"/>
    <x v="6"/>
    <x v="0"/>
    <n v="82909"/>
    <n v="0.31329186417502702"/>
    <s v="Self-employed"/>
    <n v="4"/>
    <s v="Platinum"/>
    <s v="Phoenix"/>
    <s v="Late"/>
    <s v="On-time"/>
    <s v="Late"/>
    <s v="On-time"/>
    <s v="Missed"/>
    <s v="On-time"/>
  </r>
  <r>
    <x v="213"/>
    <n v="58"/>
    <n v="97986"/>
    <n v="792"/>
    <n v="0.34419723139326103"/>
    <x v="5"/>
    <x v="0"/>
    <n v="13761"/>
    <n v="0.383547922182289"/>
    <s v="Unemployed"/>
    <n v="13"/>
    <s v="Gold"/>
    <s v="Los Angeles"/>
    <s v="Missed"/>
    <s v="Late"/>
    <s v="On-time"/>
    <s v="On-time"/>
    <s v="Late"/>
    <s v="Missed"/>
  </r>
  <r>
    <x v="214"/>
    <n v="20"/>
    <n v="166836"/>
    <n v="600"/>
    <n v="6.6870954319175197E-2"/>
    <x v="3"/>
    <x v="0"/>
    <n v="47695"/>
    <n v="0.269821861295024"/>
    <s v="Unemployed"/>
    <n v="19"/>
    <s v="Gold"/>
    <s v="Los Angeles"/>
    <s v="On-time"/>
    <s v="Missed"/>
    <s v="Late"/>
    <s v="On-time"/>
    <s v="On-time"/>
    <s v="On-time"/>
  </r>
  <r>
    <x v="215"/>
    <n v="56"/>
    <n v="191517"/>
    <n v="781"/>
    <n v="0.694852444425761"/>
    <x v="1"/>
    <x v="0"/>
    <n v="11564"/>
    <n v="0.27342861623885401"/>
    <s v="Self-employed"/>
    <n v="2"/>
    <s v="Gold"/>
    <s v="Houston"/>
    <s v="Late"/>
    <s v="On-time"/>
    <s v="On-time"/>
    <s v="On-time"/>
    <s v="Late"/>
    <s v="Missed"/>
  </r>
  <r>
    <x v="216"/>
    <n v="23"/>
    <n v="38289"/>
    <n v="682"/>
    <n v="0.39770988888995301"/>
    <x v="0"/>
    <x v="0"/>
    <n v="43870"/>
    <n v="0.449425124625633"/>
    <s v="EMP"/>
    <n v="4"/>
    <s v="Student"/>
    <s v="Los Angeles"/>
    <s v="On-time"/>
    <s v="Missed"/>
    <s v="On-time"/>
    <s v="Missed"/>
    <s v="Missed"/>
    <s v="Missed"/>
  </r>
  <r>
    <x v="217"/>
    <n v="25"/>
    <n v="115497"/>
    <n v="617"/>
    <n v="0.34791998513333799"/>
    <x v="0"/>
    <x v="0"/>
    <n v="92149"/>
    <n v="0.34363351884155002"/>
    <s v="retired"/>
    <n v="15"/>
    <s v="Standard"/>
    <s v="Chicago"/>
    <s v="On-time"/>
    <s v="Late"/>
    <s v="Late"/>
    <s v="On-time"/>
    <s v="Missed"/>
    <s v="Missed"/>
  </r>
  <r>
    <x v="218"/>
    <n v="44"/>
    <n v="72108"/>
    <n v="339"/>
    <n v="0.54211400679169297"/>
    <x v="2"/>
    <x v="0"/>
    <n v="23748"/>
    <n v="0.22854854675942601"/>
    <s v="employed"/>
    <n v="17"/>
    <s v="Business"/>
    <s v="Chicago"/>
    <s v="On-time"/>
    <s v="On-time"/>
    <s v="Late"/>
    <s v="Missed"/>
    <s v="On-time"/>
    <s v="Missed"/>
  </r>
  <r>
    <x v="219"/>
    <n v="26"/>
    <n v="54298"/>
    <n v="836"/>
    <n v="0.60249991044430296"/>
    <x v="2"/>
    <x v="0"/>
    <n v="15424"/>
    <n v="0.38969744386204702"/>
    <s v="Self-employed"/>
    <n v="16"/>
    <s v="Standard"/>
    <s v="Phoenix"/>
    <s v="On-time"/>
    <s v="Missed"/>
    <s v="Late"/>
    <s v="Missed"/>
    <s v="Missed"/>
    <s v="Missed"/>
  </r>
  <r>
    <x v="220"/>
    <n v="54"/>
    <n v="187312"/>
    <n v="825"/>
    <n v="0.43584503341874398"/>
    <x v="0"/>
    <x v="0"/>
    <n v="21613"/>
    <n v="0.24666952665721201"/>
    <s v="employed"/>
    <n v="10"/>
    <s v="Student"/>
    <s v="Phoenix"/>
    <s v="Late"/>
    <s v="Missed"/>
    <s v="On-time"/>
    <s v="Late"/>
    <s v="Missed"/>
    <s v="Late"/>
  </r>
  <r>
    <x v="221"/>
    <n v="50"/>
    <n v="146456"/>
    <n v="768"/>
    <n v="0.49947966647819603"/>
    <x v="6"/>
    <x v="1"/>
    <n v="41743"/>
    <n v="0.32256981378115201"/>
    <s v="EMP"/>
    <n v="16"/>
    <s v="Gold"/>
    <s v="Los Angeles"/>
    <s v="Late"/>
    <s v="Late"/>
    <s v="Missed"/>
    <s v="Missed"/>
    <s v="On-time"/>
    <s v="Late"/>
  </r>
  <r>
    <x v="222"/>
    <n v="68"/>
    <n v="52131"/>
    <n v="565"/>
    <n v="0.64923748146287996"/>
    <x v="3"/>
    <x v="0"/>
    <n v="24851"/>
    <n v="0.48366746308594"/>
    <s v="Unemployed"/>
    <n v="15"/>
    <s v="Platinum"/>
    <s v="New York"/>
    <s v="Missed"/>
    <s v="On-time"/>
    <s v="Late"/>
    <s v="On-time"/>
    <s v="Late"/>
    <s v="Late"/>
  </r>
  <r>
    <x v="223"/>
    <n v="59"/>
    <n v="88963"/>
    <n v="572"/>
    <n v="0.42796128107801001"/>
    <x v="1"/>
    <x v="0"/>
    <n v="41958"/>
    <n v="0.15687176123619401"/>
    <s v="Self-employed"/>
    <n v="1"/>
    <s v="Gold"/>
    <s v="Houston"/>
    <s v="On-time"/>
    <s v="Missed"/>
    <s v="On-time"/>
    <s v="Late"/>
    <s v="Missed"/>
    <s v="On-time"/>
  </r>
  <r>
    <x v="224"/>
    <n v="61"/>
    <m/>
    <n v="535"/>
    <n v="0.56046674835266597"/>
    <x v="2"/>
    <x v="0"/>
    <n v="98062"/>
    <n v="0.28242180782334603"/>
    <s v="Unemployed"/>
    <n v="3"/>
    <s v="Business"/>
    <s v="New York"/>
    <s v="Late"/>
    <s v="On-time"/>
    <s v="On-time"/>
    <s v="Late"/>
    <s v="Late"/>
    <s v="Missed"/>
  </r>
  <r>
    <x v="225"/>
    <n v="41"/>
    <n v="180983"/>
    <n v="776"/>
    <n v="0.168151076322169"/>
    <x v="1"/>
    <x v="0"/>
    <n v="14756"/>
    <n v="0.34082716409020303"/>
    <s v="EMP"/>
    <n v="6"/>
    <s v="Platinum"/>
    <s v="Los Angeles"/>
    <s v="Missed"/>
    <s v="On-time"/>
    <s v="On-time"/>
    <s v="Late"/>
    <s v="Late"/>
    <s v="Late"/>
  </r>
  <r>
    <x v="226"/>
    <n v="32"/>
    <n v="20569"/>
    <n v="823"/>
    <n v="0.25173620031444999"/>
    <x v="6"/>
    <x v="0"/>
    <n v="11061"/>
    <n v="0.37646983346646701"/>
    <s v="Unemployed"/>
    <n v="1"/>
    <s v="Gold"/>
    <s v="Los Angeles"/>
    <s v="Late"/>
    <s v="Late"/>
    <s v="Missed"/>
    <s v="Missed"/>
    <s v="On-time"/>
    <s v="Missed"/>
  </r>
  <r>
    <x v="227"/>
    <n v="71"/>
    <n v="150683"/>
    <n v="820"/>
    <n v="0.62110795561608001"/>
    <x v="1"/>
    <x v="0"/>
    <n v="11308"/>
    <n v="0.17587660926391199"/>
    <s v="Self-employed"/>
    <n v="5"/>
    <s v="Platinum"/>
    <s v="New York"/>
    <s v="Missed"/>
    <s v="Missed"/>
    <s v="Missed"/>
    <s v="On-time"/>
    <s v="Missed"/>
    <s v="Late"/>
  </r>
  <r>
    <x v="228"/>
    <n v="49"/>
    <m/>
    <n v="753"/>
    <n v="0.24128827216654"/>
    <x v="5"/>
    <x v="0"/>
    <n v="62010"/>
    <n v="0.146420973142498"/>
    <s v="EMP"/>
    <n v="16"/>
    <s v="Standard"/>
    <s v="Houston"/>
    <s v="Late"/>
    <s v="Late"/>
    <s v="On-time"/>
    <s v="Late"/>
    <s v="Missed"/>
    <s v="Missed"/>
  </r>
  <r>
    <x v="229"/>
    <n v="49"/>
    <n v="191615"/>
    <n v="659"/>
    <n v="0.54682750942265901"/>
    <x v="2"/>
    <x v="1"/>
    <n v="73327"/>
    <n v="0.40907493519904198"/>
    <s v="employed"/>
    <n v="6"/>
    <s v="Student"/>
    <s v="New York"/>
    <s v="Missed"/>
    <s v="Missed"/>
    <s v="On-time"/>
    <s v="Late"/>
    <s v="Missed"/>
    <s v="On-time"/>
  </r>
  <r>
    <x v="230"/>
    <n v="41"/>
    <n v="165580"/>
    <n v="629"/>
    <n v="0.470600243560585"/>
    <x v="6"/>
    <x v="0"/>
    <n v="96167"/>
    <n v="0.227958514319616"/>
    <s v="Self-employed"/>
    <n v="4"/>
    <s v="Gold"/>
    <s v="Phoenix"/>
    <s v="Late"/>
    <s v="On-time"/>
    <s v="Missed"/>
    <s v="Late"/>
    <s v="Late"/>
    <s v="On-time"/>
  </r>
  <r>
    <x v="231"/>
    <n v="58"/>
    <n v="70284"/>
    <n v="696"/>
    <n v="0.427106547495954"/>
    <x v="6"/>
    <x v="1"/>
    <n v="2882"/>
    <n v="0.22377174920026799"/>
    <s v="employed"/>
    <n v="4"/>
    <s v="Business"/>
    <s v="Chicago"/>
    <s v="On-time"/>
    <s v="On-time"/>
    <s v="Late"/>
    <s v="Late"/>
    <s v="On-time"/>
    <s v="Late"/>
  </r>
  <r>
    <x v="232"/>
    <n v="69"/>
    <n v="127816"/>
    <n v="781"/>
    <n v="0.33430744620645397"/>
    <x v="3"/>
    <x v="0"/>
    <n v="32588"/>
    <n v="0.45502496727721597"/>
    <s v="retired"/>
    <n v="19"/>
    <s v="Standard"/>
    <s v="Phoenix"/>
    <s v="Late"/>
    <s v="On-time"/>
    <s v="Late"/>
    <s v="Late"/>
    <s v="Missed"/>
    <s v="Missed"/>
  </r>
  <r>
    <x v="233"/>
    <n v="66"/>
    <n v="85390"/>
    <n v="617"/>
    <n v="0.68186800362107503"/>
    <x v="3"/>
    <x v="0"/>
    <n v="11061"/>
    <n v="0.30697023147318198"/>
    <s v="Self-employed"/>
    <n v="15"/>
    <s v="Gold"/>
    <s v="Chicago"/>
    <s v="Late"/>
    <s v="On-time"/>
    <s v="On-time"/>
    <s v="Missed"/>
    <s v="Missed"/>
    <s v="Missed"/>
  </r>
  <r>
    <x v="234"/>
    <n v="66"/>
    <n v="74101"/>
    <n v="561"/>
    <n v="0.84597823090396695"/>
    <x v="5"/>
    <x v="0"/>
    <n v="42715"/>
    <n v="0.30762382276815697"/>
    <s v="EMP"/>
    <n v="18"/>
    <s v="Standard"/>
    <s v="Los Angeles"/>
    <s v="Missed"/>
    <s v="Late"/>
    <s v="Missed"/>
    <s v="Missed"/>
    <s v="Missed"/>
    <s v="Missed"/>
  </r>
  <r>
    <x v="235"/>
    <n v="69"/>
    <n v="127816"/>
    <n v="345"/>
    <n v="0.56003843252003804"/>
    <x v="6"/>
    <x v="0"/>
    <n v="2926"/>
    <n v="0.28202005548484599"/>
    <s v="retired"/>
    <n v="8"/>
    <s v="Business"/>
    <s v="Houston"/>
    <s v="Late"/>
    <s v="Late"/>
    <s v="On-time"/>
    <s v="Missed"/>
    <s v="Late"/>
    <s v="Missed"/>
  </r>
  <r>
    <x v="236"/>
    <n v="29"/>
    <n v="178273"/>
    <n v="363"/>
    <n v="0.56449814313456304"/>
    <x v="4"/>
    <x v="0"/>
    <n v="98999"/>
    <n v="0.17760179332568299"/>
    <s v="Self-employed"/>
    <n v="4"/>
    <s v="Gold"/>
    <s v="New York"/>
    <s v="On-time"/>
    <s v="Missed"/>
    <s v="Missed"/>
    <s v="On-time"/>
    <s v="Missed"/>
    <s v="Missed"/>
  </r>
  <r>
    <x v="237"/>
    <n v="56"/>
    <n v="61540"/>
    <n v="731"/>
    <n v="0.36353387402850101"/>
    <x v="6"/>
    <x v="1"/>
    <n v="75777"/>
    <n v="0.36756969493943797"/>
    <s v="employed"/>
    <n v="7"/>
    <s v="Business"/>
    <s v="Houston"/>
    <s v="On-time"/>
    <s v="Missed"/>
    <s v="On-time"/>
    <s v="Missed"/>
    <s v="On-time"/>
    <s v="On-time"/>
  </r>
  <r>
    <x v="238"/>
    <n v="19"/>
    <n v="170576"/>
    <n v="729"/>
    <n v="0.26078055363512398"/>
    <x v="3"/>
    <x v="0"/>
    <n v="29561"/>
    <n v="0.34094505219256199"/>
    <s v="employed"/>
    <n v="8"/>
    <s v="Platinum"/>
    <s v="New York"/>
    <s v="On-time"/>
    <s v="Late"/>
    <s v="On-time"/>
    <s v="Missed"/>
    <s v="Missed"/>
    <s v="Late"/>
  </r>
  <r>
    <x v="239"/>
    <n v="20"/>
    <n v="191615"/>
    <n v="332"/>
    <n v="0.492052219038765"/>
    <x v="4"/>
    <x v="0"/>
    <n v="44439"/>
    <n v="0.316869132533943"/>
    <s v="employed"/>
    <n v="4"/>
    <s v="Business"/>
    <s v="Phoenix"/>
    <s v="On-time"/>
    <s v="On-time"/>
    <s v="Missed"/>
    <s v="On-time"/>
    <s v="Late"/>
    <s v="On-time"/>
  </r>
  <r>
    <x v="240"/>
    <n v="66"/>
    <n v="138961"/>
    <n v="563"/>
    <n v="0.30525007040838398"/>
    <x v="2"/>
    <x v="0"/>
    <n v="33772"/>
    <n v="0.288367696072374"/>
    <s v="Unemployed"/>
    <n v="9"/>
    <s v="Platinum"/>
    <s v="Phoenix"/>
    <s v="On-time"/>
    <s v="Late"/>
    <s v="Missed"/>
    <s v="Late"/>
    <s v="Missed"/>
    <s v="Missed"/>
  </r>
  <r>
    <x v="241"/>
    <n v="54"/>
    <n v="114657"/>
    <n v="522"/>
    <n v="0.14547797433683499"/>
    <x v="2"/>
    <x v="0"/>
    <n v="31481"/>
    <n v="0.27076803506617098"/>
    <s v="retired"/>
    <n v="1"/>
    <s v="Gold"/>
    <s v="New York"/>
    <s v="Late"/>
    <s v="Missed"/>
    <s v="Late"/>
    <s v="On-time"/>
    <s v="Missed"/>
    <s v="Late"/>
  </r>
  <r>
    <x v="242"/>
    <n v="66"/>
    <n v="76813"/>
    <n v="749"/>
    <n v="0.66068916247311604"/>
    <x v="1"/>
    <x v="0"/>
    <n v="29584"/>
    <n v="0.39124833895474098"/>
    <s v="EMP"/>
    <n v="8"/>
    <s v="Platinum"/>
    <s v="Houston"/>
    <s v="On-time"/>
    <s v="On-time"/>
    <s v="Late"/>
    <s v="Late"/>
    <s v="On-time"/>
    <s v="Late"/>
  </r>
  <r>
    <x v="243"/>
    <n v="73"/>
    <n v="48307"/>
    <n v="319"/>
    <n v="0.67043335765036605"/>
    <x v="0"/>
    <x v="0"/>
    <m/>
    <n v="0.28587069367939"/>
    <s v="EMP"/>
    <n v="10"/>
    <s v="Gold"/>
    <s v="New York"/>
    <s v="Late"/>
    <s v="On-time"/>
    <s v="Late"/>
    <s v="Late"/>
    <s v="Missed"/>
    <s v="Late"/>
  </r>
  <r>
    <x v="244"/>
    <n v="34"/>
    <n v="193677"/>
    <n v="380"/>
    <n v="0.32823224540938101"/>
    <x v="3"/>
    <x v="0"/>
    <n v="83604"/>
    <n v="0.29359389614661102"/>
    <s v="Unemployed"/>
    <n v="3"/>
    <s v="Gold"/>
    <s v="Los Angeles"/>
    <s v="Late"/>
    <s v="On-time"/>
    <s v="Missed"/>
    <s v="On-time"/>
    <s v="Missed"/>
    <s v="Missed"/>
  </r>
  <r>
    <x v="245"/>
    <n v="66"/>
    <n v="186334"/>
    <n v="521"/>
    <n v="0.54879286425584795"/>
    <x v="0"/>
    <x v="0"/>
    <n v="20052"/>
    <n v="0.35298931548837698"/>
    <s v="employed"/>
    <n v="1"/>
    <s v="Student"/>
    <s v="Phoenix"/>
    <s v="Missed"/>
    <s v="Late"/>
    <s v="Missed"/>
    <s v="Missed"/>
    <s v="On-time"/>
    <s v="Late"/>
  </r>
  <r>
    <x v="246"/>
    <n v="19"/>
    <n v="74163"/>
    <n v="623"/>
    <n v="0.70039045355835305"/>
    <x v="4"/>
    <x v="0"/>
    <n v="15424"/>
    <n v="0.32079609306803802"/>
    <s v="employed"/>
    <n v="5"/>
    <s v="Gold"/>
    <s v="Los Angeles"/>
    <s v="Missed"/>
    <s v="Late"/>
    <s v="Missed"/>
    <s v="Late"/>
    <s v="Late"/>
    <s v="On-time"/>
  </r>
  <r>
    <x v="247"/>
    <n v="19"/>
    <n v="102235"/>
    <n v="412"/>
    <n v="0.541005337412375"/>
    <x v="3"/>
    <x v="1"/>
    <n v="26649"/>
    <n v="0.46422760575404298"/>
    <s v="Self-employed"/>
    <n v="13"/>
    <s v="Platinum"/>
    <s v="Phoenix"/>
    <s v="On-time"/>
    <s v="Late"/>
    <s v="On-time"/>
    <s v="On-time"/>
    <s v="On-time"/>
    <s v="Late"/>
  </r>
  <r>
    <x v="248"/>
    <n v="45"/>
    <n v="27763"/>
    <n v="655"/>
    <n v="0.26136907078025301"/>
    <x v="5"/>
    <x v="0"/>
    <n v="52425"/>
    <n v="0.12386332225266899"/>
    <s v="employed"/>
    <n v="0"/>
    <s v="Student"/>
    <s v="Phoenix"/>
    <s v="On-time"/>
    <s v="On-time"/>
    <s v="Late"/>
    <s v="Late"/>
    <s v="Missed"/>
    <s v="Late"/>
  </r>
  <r>
    <x v="249"/>
    <n v="71"/>
    <n v="39285"/>
    <n v="818"/>
    <n v="0.45342131735258001"/>
    <x v="6"/>
    <x v="0"/>
    <n v="99620"/>
    <n v="0.329990743836726"/>
    <s v="retired"/>
    <n v="17"/>
    <s v="Student"/>
    <s v="Chicago"/>
    <s v="Missed"/>
    <s v="On-time"/>
    <s v="Missed"/>
    <s v="Missed"/>
    <s v="On-time"/>
    <s v="On-time"/>
  </r>
  <r>
    <x v="250"/>
    <n v="40"/>
    <n v="66991"/>
    <n v="337"/>
    <n v="0.765361884008398"/>
    <x v="5"/>
    <x v="0"/>
    <n v="23431"/>
    <n v="0.229439421952783"/>
    <s v="employed"/>
    <n v="6"/>
    <s v="Gold"/>
    <s v="Los Angeles"/>
    <s v="Missed"/>
    <s v="Missed"/>
    <s v="On-time"/>
    <s v="Late"/>
    <s v="Late"/>
    <s v="Missed"/>
  </r>
  <r>
    <x v="251"/>
    <n v="54"/>
    <n v="185883"/>
    <n v="663"/>
    <n v="0.54940532872102199"/>
    <x v="4"/>
    <x v="1"/>
    <n v="95074"/>
    <n v="0.20579134652450701"/>
    <s v="employed"/>
    <n v="0"/>
    <s v="Business"/>
    <s v="Los Angeles"/>
    <s v="Missed"/>
    <s v="On-time"/>
    <s v="Missed"/>
    <s v="Late"/>
    <s v="On-time"/>
    <s v="Late"/>
  </r>
  <r>
    <x v="252"/>
    <n v="49"/>
    <n v="119185"/>
    <n v="635"/>
    <n v="0.607826420636561"/>
    <x v="3"/>
    <x v="0"/>
    <n v="31674"/>
    <n v="0.25429357939556502"/>
    <s v="Self-employed"/>
    <n v="0"/>
    <s v="Business"/>
    <s v="Chicago"/>
    <s v="Missed"/>
    <s v="Missed"/>
    <s v="Late"/>
    <s v="Missed"/>
    <s v="Late"/>
    <s v="On-time"/>
  </r>
  <r>
    <x v="253"/>
    <n v="50"/>
    <n v="98042"/>
    <n v="847"/>
    <n v="0.56832584387382201"/>
    <x v="4"/>
    <x v="1"/>
    <n v="90739"/>
    <n v="0.30546794084817602"/>
    <s v="employed"/>
    <n v="0"/>
    <s v="Student"/>
    <s v="Houston"/>
    <s v="On-time"/>
    <s v="Missed"/>
    <s v="Late"/>
    <s v="Missed"/>
    <s v="Missed"/>
    <s v="On-time"/>
  </r>
  <r>
    <x v="254"/>
    <n v="18"/>
    <n v="116042"/>
    <n v="544"/>
    <n v="0.328897728404349"/>
    <x v="6"/>
    <x v="0"/>
    <n v="30509"/>
    <n v="0.30990690759234002"/>
    <s v="Unemployed"/>
    <n v="3"/>
    <s v="Gold"/>
    <s v="Los Angeles"/>
    <s v="Missed"/>
    <s v="Late"/>
    <s v="On-time"/>
    <s v="On-time"/>
    <s v="Missed"/>
    <s v="Missed"/>
  </r>
  <r>
    <x v="255"/>
    <n v="36"/>
    <n v="95219"/>
    <n v="535"/>
    <n v="0.37583095614347101"/>
    <x v="2"/>
    <x v="0"/>
    <n v="41594"/>
    <n v="0.14826937843214999"/>
    <s v="Self-employed"/>
    <n v="3"/>
    <s v="Business"/>
    <s v="New York"/>
    <s v="On-time"/>
    <s v="Missed"/>
    <s v="Missed"/>
    <s v="On-time"/>
    <s v="On-time"/>
    <s v="Late"/>
  </r>
  <r>
    <x v="256"/>
    <n v="19"/>
    <n v="155734"/>
    <n v="524"/>
    <n v="0.56777303141034796"/>
    <x v="2"/>
    <x v="0"/>
    <n v="3142"/>
    <n v="0.24589161703221801"/>
    <s v="Unemployed"/>
    <n v="17"/>
    <s v="Gold"/>
    <s v="Chicago"/>
    <s v="On-time"/>
    <s v="On-time"/>
    <s v="On-time"/>
    <s v="On-time"/>
    <s v="Late"/>
    <s v="Missed"/>
  </r>
  <r>
    <x v="257"/>
    <n v="70"/>
    <n v="116042"/>
    <n v="608"/>
    <n v="0.66337435600408101"/>
    <x v="4"/>
    <x v="1"/>
    <n v="63443"/>
    <n v="0.32812215514764498"/>
    <s v="Self-employed"/>
    <n v="10"/>
    <s v="Gold"/>
    <s v="Los Angeles"/>
    <s v="Late"/>
    <s v="On-time"/>
    <s v="Missed"/>
    <s v="Late"/>
    <s v="Missed"/>
    <s v="On-time"/>
  </r>
  <r>
    <x v="258"/>
    <n v="61"/>
    <n v="109456"/>
    <n v="354"/>
    <n v="0.71998099018357598"/>
    <x v="0"/>
    <x v="0"/>
    <n v="8526"/>
    <n v="0.21230695492163401"/>
    <s v="employed"/>
    <n v="0"/>
    <s v="Student"/>
    <s v="Houston"/>
    <s v="Late"/>
    <s v="Missed"/>
    <s v="On-time"/>
    <s v="Missed"/>
    <s v="On-time"/>
    <s v="Missed"/>
  </r>
  <r>
    <x v="259"/>
    <n v="43"/>
    <n v="70284"/>
    <n v="405"/>
    <n v="0.32837889104636098"/>
    <x v="3"/>
    <x v="0"/>
    <n v="10778"/>
    <n v="0.18852160952834801"/>
    <s v="Unemployed"/>
    <n v="9"/>
    <s v="Student"/>
    <s v="Los Angeles"/>
    <s v="Late"/>
    <s v="Missed"/>
    <s v="Missed"/>
    <s v="On-time"/>
    <s v="Missed"/>
    <s v="On-time"/>
  </r>
  <r>
    <x v="260"/>
    <n v="49"/>
    <n v="61540"/>
    <n v="777"/>
    <n v="0.58662410693543798"/>
    <x v="3"/>
    <x v="0"/>
    <n v="15171"/>
    <n v="0.1"/>
    <s v="Unemployed"/>
    <n v="8"/>
    <s v="Standard"/>
    <s v="Phoenix"/>
    <s v="On-time"/>
    <s v="Missed"/>
    <s v="Late"/>
    <s v="On-time"/>
    <s v="On-time"/>
    <s v="Late"/>
  </r>
  <r>
    <x v="261"/>
    <n v="23"/>
    <n v="93752"/>
    <n v="350"/>
    <n v="0.73740882234379501"/>
    <x v="2"/>
    <x v="0"/>
    <n v="11942"/>
    <n v="0.233680655162464"/>
    <s v="Unemployed"/>
    <n v="3"/>
    <s v="Business"/>
    <s v="New York"/>
    <s v="On-time"/>
    <s v="Missed"/>
    <s v="On-time"/>
    <s v="Late"/>
    <s v="Missed"/>
    <s v="Late"/>
  </r>
  <r>
    <x v="262"/>
    <n v="49"/>
    <n v="42350"/>
    <n v="341"/>
    <n v="0.30258364594239501"/>
    <x v="1"/>
    <x v="0"/>
    <n v="83022"/>
    <n v="0.18503708010491801"/>
    <s v="Self-employed"/>
    <n v="5"/>
    <s v="Business"/>
    <s v="Chicago"/>
    <s v="Late"/>
    <s v="Missed"/>
    <s v="Missed"/>
    <s v="Late"/>
    <s v="Missed"/>
    <s v="Missed"/>
  </r>
  <r>
    <x v="263"/>
    <n v="72"/>
    <n v="97750"/>
    <n v="414"/>
    <n v="0.79734942715995405"/>
    <x v="5"/>
    <x v="0"/>
    <n v="72332"/>
    <n v="0.20160671168899399"/>
    <s v="EMP"/>
    <n v="15"/>
    <s v="Business"/>
    <s v="Phoenix"/>
    <s v="Late"/>
    <s v="Missed"/>
    <s v="Late"/>
    <s v="Missed"/>
    <s v="On-time"/>
    <s v="Missed"/>
  </r>
  <r>
    <x v="264"/>
    <n v="21"/>
    <n v="142016"/>
    <n v="445"/>
    <n v="0.82778816546883704"/>
    <x v="1"/>
    <x v="1"/>
    <n v="65548"/>
    <n v="0.27281796967203398"/>
    <s v="employed"/>
    <n v="1"/>
    <s v="Platinum"/>
    <s v="Houston"/>
    <s v="Late"/>
    <s v="On-time"/>
    <s v="Missed"/>
    <s v="Late"/>
    <s v="Late"/>
    <s v="On-time"/>
  </r>
  <r>
    <x v="265"/>
    <n v="72"/>
    <n v="16062"/>
    <n v="584"/>
    <n v="1.0250172679243299"/>
    <x v="6"/>
    <x v="0"/>
    <n v="92285"/>
    <n v="0.24001711234570999"/>
    <s v="Unemployed"/>
    <n v="17"/>
    <s v="Gold"/>
    <s v="Phoenix"/>
    <s v="Missed"/>
    <s v="Late"/>
    <s v="Missed"/>
    <s v="Missed"/>
    <s v="On-time"/>
    <s v="Late"/>
  </r>
  <r>
    <x v="266"/>
    <n v="28"/>
    <n v="75692"/>
    <n v="534"/>
    <n v="0.54618668816599802"/>
    <x v="5"/>
    <x v="0"/>
    <n v="48397"/>
    <n v="0.183376210614069"/>
    <s v="retired"/>
    <n v="9"/>
    <s v="Student"/>
    <s v="Phoenix"/>
    <s v="Missed"/>
    <s v="Missed"/>
    <s v="Late"/>
    <s v="Late"/>
    <s v="Missed"/>
    <s v="Late"/>
  </r>
  <r>
    <x v="267"/>
    <n v="73"/>
    <n v="158087"/>
    <n v="669"/>
    <n v="0.547284935252489"/>
    <x v="5"/>
    <x v="0"/>
    <n v="68998"/>
    <n v="0.1"/>
    <s v="EMP"/>
    <n v="16"/>
    <s v="Business"/>
    <s v="Houston"/>
    <s v="Late"/>
    <s v="Late"/>
    <s v="Missed"/>
    <s v="On-time"/>
    <s v="Missed"/>
    <s v="Late"/>
  </r>
  <r>
    <x v="268"/>
    <n v="34"/>
    <n v="53765"/>
    <n v="736"/>
    <n v="0.66539887782346296"/>
    <x v="4"/>
    <x v="0"/>
    <n v="52413"/>
    <n v="0.33023113051476399"/>
    <s v="retired"/>
    <n v="12"/>
    <s v="Standard"/>
    <s v="Phoenix"/>
    <s v="Missed"/>
    <s v="Missed"/>
    <s v="On-time"/>
    <s v="On-time"/>
    <s v="Missed"/>
    <s v="Late"/>
  </r>
  <r>
    <x v="269"/>
    <n v="55"/>
    <n v="198062"/>
    <n v="766"/>
    <n v="0.65956053460988295"/>
    <x v="2"/>
    <x v="0"/>
    <n v="50989"/>
    <n v="0.37528272138084701"/>
    <s v="employed"/>
    <n v="17"/>
    <s v="Business"/>
    <s v="Chicago"/>
    <s v="Missed"/>
    <s v="Missed"/>
    <s v="On-time"/>
    <s v="Missed"/>
    <s v="Late"/>
    <s v="Late"/>
  </r>
  <r>
    <x v="270"/>
    <n v="41"/>
    <n v="38049"/>
    <n v="648"/>
    <n v="0.72527337219912102"/>
    <x v="1"/>
    <x v="0"/>
    <n v="44016"/>
    <n v="0.26032550210056199"/>
    <s v="employed"/>
    <n v="12"/>
    <s v="Gold"/>
    <s v="Los Angeles"/>
    <s v="Late"/>
    <s v="Missed"/>
    <s v="Late"/>
    <s v="On-time"/>
    <s v="Missed"/>
    <s v="Missed"/>
  </r>
  <r>
    <x v="271"/>
    <n v="22"/>
    <n v="166222"/>
    <n v="762"/>
    <n v="0.65680663609302004"/>
    <x v="1"/>
    <x v="0"/>
    <n v="29416"/>
    <n v="0.27342243035457198"/>
    <s v="Unemployed"/>
    <n v="16"/>
    <s v="Gold"/>
    <s v="Phoenix"/>
    <s v="Late"/>
    <s v="Missed"/>
    <s v="Missed"/>
    <s v="Late"/>
    <s v="Late"/>
    <s v="Late"/>
  </r>
  <r>
    <x v="272"/>
    <n v="69"/>
    <m/>
    <n v="423"/>
    <n v="0.47878761819239202"/>
    <x v="2"/>
    <x v="1"/>
    <m/>
    <n v="0.30028105156861201"/>
    <s v="Unemployed"/>
    <n v="4"/>
    <s v="Student"/>
    <s v="Chicago"/>
    <s v="Missed"/>
    <s v="Late"/>
    <s v="Missed"/>
    <s v="Late"/>
    <s v="Missed"/>
    <s v="Missed"/>
  </r>
  <r>
    <x v="273"/>
    <n v="51"/>
    <n v="193031"/>
    <n v="670"/>
    <n v="0.74439942419469995"/>
    <x v="1"/>
    <x v="1"/>
    <n v="80150"/>
    <n v="0.45787835766122498"/>
    <s v="Self-employed"/>
    <n v="10"/>
    <s v="Platinum"/>
    <s v="Los Angeles"/>
    <s v="On-time"/>
    <s v="On-time"/>
    <s v="Missed"/>
    <s v="Missed"/>
    <s v="Late"/>
    <s v="Missed"/>
  </r>
  <r>
    <x v="274"/>
    <n v="23"/>
    <n v="189358"/>
    <n v="823"/>
    <n v="0.28574917006145401"/>
    <x v="2"/>
    <x v="0"/>
    <n v="2687"/>
    <n v="0.14322922061742199"/>
    <s v="EMP"/>
    <n v="6"/>
    <s v="Student"/>
    <s v="Los Angeles"/>
    <s v="Late"/>
    <s v="On-time"/>
    <s v="On-time"/>
    <s v="Late"/>
    <s v="Late"/>
    <s v="Late"/>
  </r>
  <r>
    <x v="275"/>
    <n v="39"/>
    <n v="101188"/>
    <n v="694"/>
    <n v="0.50117046734507498"/>
    <x v="4"/>
    <x v="1"/>
    <n v="23685"/>
    <n v="0.258551027412743"/>
    <s v="EMP"/>
    <n v="9"/>
    <s v="Business"/>
    <s v="Phoenix"/>
    <s v="Late"/>
    <s v="Late"/>
    <s v="On-time"/>
    <s v="Late"/>
    <s v="On-time"/>
    <s v="Missed"/>
  </r>
  <r>
    <x v="276"/>
    <n v="28"/>
    <m/>
    <n v="421"/>
    <n v="0.81274712320995901"/>
    <x v="0"/>
    <x v="0"/>
    <n v="77719"/>
    <n v="0.12780270358672799"/>
    <s v="Unemployed"/>
    <n v="16"/>
    <s v="Standard"/>
    <s v="Chicago"/>
    <s v="On-time"/>
    <s v="Missed"/>
    <s v="Missed"/>
    <s v="Late"/>
    <s v="Missed"/>
    <s v="On-time"/>
  </r>
  <r>
    <x v="277"/>
    <n v="65"/>
    <n v="54749"/>
    <n v="407"/>
    <n v="0.249950700375936"/>
    <x v="5"/>
    <x v="0"/>
    <n v="44439"/>
    <n v="0.33623184587355498"/>
    <s v="employed"/>
    <n v="14"/>
    <s v="Student"/>
    <s v="Phoenix"/>
    <s v="Missed"/>
    <s v="Missed"/>
    <s v="On-time"/>
    <s v="On-time"/>
    <s v="On-time"/>
    <s v="Late"/>
  </r>
  <r>
    <x v="278"/>
    <n v="33"/>
    <m/>
    <n v="418"/>
    <n v="0.36450486860056702"/>
    <x v="4"/>
    <x v="0"/>
    <n v="37905"/>
    <n v="0.28560416062119798"/>
    <s v="Unemployed"/>
    <n v="17"/>
    <s v="Platinum"/>
    <s v="Houston"/>
    <s v="Missed"/>
    <s v="On-time"/>
    <s v="Late"/>
    <s v="Missed"/>
    <s v="Missed"/>
    <s v="On-time"/>
  </r>
  <r>
    <x v="279"/>
    <n v="50"/>
    <n v="65990"/>
    <n v="622"/>
    <n v="0.63434945821545796"/>
    <x v="3"/>
    <x v="0"/>
    <n v="99005"/>
    <n v="0.320299211293607"/>
    <s v="employed"/>
    <n v="18"/>
    <s v="Student"/>
    <s v="Los Angeles"/>
    <s v="Missed"/>
    <s v="Missed"/>
    <s v="Missed"/>
    <s v="Missed"/>
    <s v="Late"/>
    <s v="Missed"/>
  </r>
  <r>
    <x v="280"/>
    <n v="26"/>
    <n v="42350"/>
    <n v="825"/>
    <n v="0.57878239464723003"/>
    <x v="6"/>
    <x v="0"/>
    <n v="46813"/>
    <n v="0.31531225625910703"/>
    <s v="employed"/>
    <n v="1"/>
    <s v="Gold"/>
    <s v="Phoenix"/>
    <s v="Late"/>
    <s v="Late"/>
    <s v="Late"/>
    <s v="Missed"/>
    <s v="Missed"/>
    <s v="Late"/>
  </r>
  <r>
    <x v="281"/>
    <n v="23"/>
    <n v="42350"/>
    <n v="823"/>
    <n v="0.324994918468751"/>
    <x v="0"/>
    <x v="1"/>
    <m/>
    <n v="0.39907082537035099"/>
    <s v="Unemployed"/>
    <n v="3"/>
    <s v="Business"/>
    <s v="Los Angeles"/>
    <s v="On-time"/>
    <s v="Missed"/>
    <s v="Missed"/>
    <s v="Late"/>
    <s v="Late"/>
    <s v="Missed"/>
  </r>
  <r>
    <x v="282"/>
    <n v="33"/>
    <n v="116570"/>
    <n v="452"/>
    <n v="0.416761199453971"/>
    <x v="3"/>
    <x v="0"/>
    <n v="50989"/>
    <n v="0.353813296456846"/>
    <s v="employed"/>
    <n v="2"/>
    <s v="Business"/>
    <s v="Chicago"/>
    <s v="Missed"/>
    <s v="On-time"/>
    <s v="Missed"/>
    <s v="On-time"/>
    <s v="Late"/>
    <s v="Missed"/>
  </r>
  <r>
    <x v="283"/>
    <n v="46"/>
    <n v="159572"/>
    <n v="724"/>
    <n v="0.26384358746993197"/>
    <x v="5"/>
    <x v="1"/>
    <n v="74433"/>
    <n v="0.38305079576600798"/>
    <s v="EMP"/>
    <n v="6"/>
    <s v="Business"/>
    <s v="New York"/>
    <s v="On-time"/>
    <s v="On-time"/>
    <s v="On-time"/>
    <s v="On-time"/>
    <s v="Late"/>
    <s v="Missed"/>
  </r>
  <r>
    <x v="284"/>
    <n v="20"/>
    <n v="116570"/>
    <n v="739"/>
    <n v="0.696096999904114"/>
    <x v="1"/>
    <x v="0"/>
    <n v="52331"/>
    <n v="0.19344653101030501"/>
    <s v="retired"/>
    <n v="17"/>
    <s v="Business"/>
    <s v="Phoenix"/>
    <s v="Late"/>
    <s v="Late"/>
    <s v="On-time"/>
    <s v="Late"/>
    <s v="Late"/>
    <s v="Missed"/>
  </r>
  <r>
    <x v="285"/>
    <n v="37"/>
    <n v="190333"/>
    <n v="700"/>
    <n v="0.44882372846589302"/>
    <x v="2"/>
    <x v="0"/>
    <n v="41958"/>
    <n v="0.41931708649751398"/>
    <s v="employed"/>
    <n v="9"/>
    <s v="Business"/>
    <s v="Phoenix"/>
    <s v="Late"/>
    <s v="Missed"/>
    <s v="On-time"/>
    <s v="On-time"/>
    <s v="Late"/>
    <s v="On-time"/>
  </r>
  <r>
    <x v="286"/>
    <n v="53"/>
    <n v="32955"/>
    <n v="482"/>
    <n v="0.85843118215212599"/>
    <x v="5"/>
    <x v="1"/>
    <n v="45089"/>
    <n v="0.22776372605110001"/>
    <s v="employed"/>
    <n v="6"/>
    <s v="Business"/>
    <s v="Los Angeles"/>
    <s v="Missed"/>
    <s v="Missed"/>
    <s v="Late"/>
    <s v="Late"/>
    <s v="Late"/>
    <s v="Missed"/>
  </r>
  <r>
    <x v="287"/>
    <n v="36"/>
    <n v="141131"/>
    <n v="385"/>
    <n v="0.51622004880800398"/>
    <x v="4"/>
    <x v="0"/>
    <n v="63375"/>
    <n v="0.23351304573760101"/>
    <s v="employed"/>
    <n v="7"/>
    <s v="Standard"/>
    <s v="Chicago"/>
    <s v="On-time"/>
    <s v="Missed"/>
    <s v="Late"/>
    <s v="On-time"/>
    <s v="On-time"/>
    <s v="On-time"/>
  </r>
  <r>
    <x v="288"/>
    <n v="43"/>
    <n v="68682"/>
    <n v="579"/>
    <n v="0.456051939319424"/>
    <x v="6"/>
    <x v="0"/>
    <n v="86965"/>
    <n v="0.32708425773529898"/>
    <s v="retired"/>
    <n v="5"/>
    <s v="Platinum"/>
    <s v="Houston"/>
    <s v="Missed"/>
    <s v="On-time"/>
    <s v="Late"/>
    <s v="Late"/>
    <s v="On-time"/>
    <s v="Missed"/>
  </r>
  <r>
    <x v="289"/>
    <n v="20"/>
    <n v="16062"/>
    <n v="658"/>
    <n v="0.43663564774163999"/>
    <x v="4"/>
    <x v="0"/>
    <n v="67673"/>
    <n v="0.33019182630492699"/>
    <s v="Self-employed"/>
    <n v="0"/>
    <s v="Business"/>
    <s v="Chicago"/>
    <s v="Late"/>
    <s v="On-time"/>
    <s v="On-time"/>
    <s v="Missed"/>
    <s v="Late"/>
    <s v="On-time"/>
  </r>
  <r>
    <x v="290"/>
    <n v="36"/>
    <m/>
    <n v="836"/>
    <n v="0.45116003296151402"/>
    <x v="0"/>
    <x v="0"/>
    <n v="70406"/>
    <n v="0.19281431977675201"/>
    <s v="employed"/>
    <n v="3"/>
    <s v="Platinum"/>
    <s v="Phoenix"/>
    <s v="Late"/>
    <s v="Late"/>
    <s v="Late"/>
    <s v="Late"/>
    <s v="Late"/>
    <s v="Late"/>
  </r>
  <r>
    <x v="291"/>
    <n v="37"/>
    <n v="155734"/>
    <n v="315"/>
    <n v="0.52216421902676002"/>
    <x v="0"/>
    <x v="0"/>
    <n v="84521"/>
    <n v="0.28267207082260998"/>
    <s v="retired"/>
    <n v="13"/>
    <s v="Business"/>
    <s v="Houston"/>
    <s v="Missed"/>
    <s v="Late"/>
    <s v="Missed"/>
    <s v="On-time"/>
    <s v="Missed"/>
    <s v="Missed"/>
  </r>
  <r>
    <x v="292"/>
    <n v="49"/>
    <n v="38061"/>
    <n v="316"/>
    <n v="1.0024815153156601"/>
    <x v="6"/>
    <x v="0"/>
    <n v="95267"/>
    <n v="0.448823531686947"/>
    <s v="employed"/>
    <n v="16"/>
    <s v="Student"/>
    <s v="Chicago"/>
    <s v="Late"/>
    <s v="Late"/>
    <s v="Late"/>
    <s v="Late"/>
    <s v="Missed"/>
    <s v="Missed"/>
  </r>
  <r>
    <x v="293"/>
    <n v="24"/>
    <m/>
    <n v="436"/>
    <n v="0.43222806598012797"/>
    <x v="3"/>
    <x v="0"/>
    <n v="45595"/>
    <n v="0.15316634384659"/>
    <s v="employed"/>
    <n v="19"/>
    <s v="Business"/>
    <s v="New York"/>
    <s v="Late"/>
    <s v="Late"/>
    <s v="On-time"/>
    <s v="Missed"/>
    <s v="On-time"/>
    <s v="Missed"/>
  </r>
  <r>
    <x v="294"/>
    <n v="69"/>
    <n v="43251"/>
    <n v="515"/>
    <n v="0.43872930784573799"/>
    <x v="3"/>
    <x v="1"/>
    <n v="52331"/>
    <n v="0.44852192410127201"/>
    <s v="EMP"/>
    <n v="17"/>
    <s v="Gold"/>
    <s v="Los Angeles"/>
    <s v="Missed"/>
    <s v="Missed"/>
    <s v="On-time"/>
    <s v="Late"/>
    <s v="Late"/>
    <s v="On-time"/>
  </r>
  <r>
    <x v="295"/>
    <n v="58"/>
    <n v="90353"/>
    <n v="658"/>
    <n v="0.51311876913663501"/>
    <x v="0"/>
    <x v="0"/>
    <n v="82714"/>
    <n v="0.275830154858351"/>
    <s v="employed"/>
    <n v="10"/>
    <s v="Standard"/>
    <s v="Chicago"/>
    <s v="Missed"/>
    <s v="Missed"/>
    <s v="Late"/>
    <s v="Missed"/>
    <s v="Late"/>
    <s v="Missed"/>
  </r>
  <r>
    <x v="296"/>
    <n v="50"/>
    <n v="81234"/>
    <n v="310"/>
    <n v="0.71805490126885196"/>
    <x v="0"/>
    <x v="0"/>
    <n v="79552"/>
    <n v="0.1"/>
    <s v="Self-employed"/>
    <n v="13"/>
    <s v="Student"/>
    <s v="Chicago"/>
    <s v="On-time"/>
    <s v="On-time"/>
    <s v="On-time"/>
    <s v="On-time"/>
    <s v="Missed"/>
    <s v="On-time"/>
  </r>
  <r>
    <x v="297"/>
    <n v="57"/>
    <n v="19835"/>
    <n v="793"/>
    <n v="0.21580308778544399"/>
    <x v="1"/>
    <x v="0"/>
    <n v="41653"/>
    <n v="0.163326826651709"/>
    <s v="Unemployed"/>
    <n v="8"/>
    <s v="Student"/>
    <s v="New York"/>
    <s v="Late"/>
    <s v="On-time"/>
    <s v="Late"/>
    <s v="On-time"/>
    <s v="Missed"/>
    <s v="Missed"/>
  </r>
  <r>
    <x v="298"/>
    <n v="56"/>
    <m/>
    <n v="673"/>
    <n v="0.59101854738192905"/>
    <x v="2"/>
    <x v="1"/>
    <n v="89660"/>
    <n v="0.20365224622648001"/>
    <s v="retired"/>
    <n v="14"/>
    <s v="Gold"/>
    <s v="Phoenix"/>
    <s v="Late"/>
    <s v="Missed"/>
    <s v="On-time"/>
    <s v="Late"/>
    <s v="Missed"/>
    <s v="On-time"/>
  </r>
  <r>
    <x v="299"/>
    <n v="35"/>
    <m/>
    <n v="321"/>
    <n v="0.33651496479576698"/>
    <x v="1"/>
    <x v="0"/>
    <n v="62342"/>
    <n v="0.23760706992172501"/>
    <s v="employed"/>
    <n v="11"/>
    <s v="Business"/>
    <s v="Los Angeles"/>
    <s v="Missed"/>
    <s v="Late"/>
    <s v="Late"/>
    <s v="Late"/>
    <s v="Missed"/>
    <s v="On-time"/>
  </r>
  <r>
    <x v="300"/>
    <n v="57"/>
    <n v="159188"/>
    <n v="415"/>
    <n v="0.61065453779018897"/>
    <x v="1"/>
    <x v="0"/>
    <n v="52259"/>
    <n v="0.28952867413746602"/>
    <s v="employed"/>
    <n v="9"/>
    <s v="Standard"/>
    <s v="Chicago"/>
    <s v="Missed"/>
    <s v="Late"/>
    <s v="Late"/>
    <s v="Missed"/>
    <s v="On-time"/>
    <s v="Late"/>
  </r>
  <r>
    <x v="301"/>
    <n v="18"/>
    <n v="70479"/>
    <n v="834"/>
    <n v="0.40124801152790801"/>
    <x v="3"/>
    <x v="0"/>
    <n v="82789"/>
    <n v="0.1"/>
    <s v="Self-employed"/>
    <n v="18"/>
    <s v="Student"/>
    <s v="Houston"/>
    <s v="Missed"/>
    <s v="Late"/>
    <s v="Late"/>
    <s v="Late"/>
    <s v="Missed"/>
    <s v="Late"/>
  </r>
  <r>
    <x v="302"/>
    <n v="28"/>
    <n v="119573"/>
    <n v="700"/>
    <n v="0.05"/>
    <x v="6"/>
    <x v="0"/>
    <n v="52217"/>
    <n v="0.31868043924776501"/>
    <s v="EMP"/>
    <n v="18"/>
    <s v="Standard"/>
    <s v="Chicago"/>
    <s v="Missed"/>
    <s v="Late"/>
    <s v="Late"/>
    <s v="Missed"/>
    <s v="On-time"/>
    <s v="Missed"/>
  </r>
  <r>
    <x v="303"/>
    <n v="45"/>
    <n v="81234"/>
    <n v="584"/>
    <n v="0.57391552053749695"/>
    <x v="3"/>
    <x v="0"/>
    <n v="9859"/>
    <n v="0.194490949167511"/>
    <s v="employed"/>
    <n v="5"/>
    <s v="Student"/>
    <s v="Los Angeles"/>
    <s v="Late"/>
    <s v="Late"/>
    <s v="Missed"/>
    <s v="Missed"/>
    <s v="Missed"/>
    <s v="Late"/>
  </r>
  <r>
    <x v="304"/>
    <n v="74"/>
    <n v="149415"/>
    <n v="591"/>
    <n v="0.57222895406937302"/>
    <x v="2"/>
    <x v="0"/>
    <n v="52217"/>
    <n v="0.43905225716010499"/>
    <s v="employed"/>
    <n v="19"/>
    <s v="Business"/>
    <s v="Chicago"/>
    <s v="Late"/>
    <s v="Missed"/>
    <s v="On-time"/>
    <s v="On-time"/>
    <s v="On-time"/>
    <s v="Late"/>
  </r>
  <r>
    <x v="305"/>
    <n v="42"/>
    <n v="136465"/>
    <n v="595"/>
    <n v="0.38418393830411401"/>
    <x v="4"/>
    <x v="0"/>
    <n v="75316"/>
    <n v="0.27298232792560201"/>
    <s v="EMP"/>
    <n v="5"/>
    <s v="Student"/>
    <s v="New York"/>
    <s v="Late"/>
    <s v="Late"/>
    <s v="Late"/>
    <s v="On-time"/>
    <s v="Missed"/>
    <s v="On-time"/>
  </r>
  <r>
    <x v="306"/>
    <n v="67"/>
    <n v="53494"/>
    <n v="591"/>
    <n v="0.372331227971399"/>
    <x v="0"/>
    <x v="0"/>
    <n v="12176"/>
    <n v="0.39428461717327201"/>
    <s v="Self-employed"/>
    <n v="7"/>
    <s v="Student"/>
    <s v="Chicago"/>
    <s v="On-time"/>
    <s v="On-time"/>
    <s v="Late"/>
    <s v="Missed"/>
    <s v="Late"/>
    <s v="On-time"/>
  </r>
  <r>
    <x v="307"/>
    <n v="40"/>
    <m/>
    <n v="307"/>
    <n v="0.237725454982469"/>
    <x v="0"/>
    <x v="0"/>
    <n v="71588"/>
    <n v="0.411034897991429"/>
    <s v="retired"/>
    <n v="0"/>
    <s v="Platinum"/>
    <s v="Chicago"/>
    <s v="Missed"/>
    <s v="Late"/>
    <s v="On-time"/>
    <s v="Missed"/>
    <s v="Missed"/>
    <s v="Missed"/>
  </r>
  <r>
    <x v="308"/>
    <n v="48"/>
    <n v="70479"/>
    <n v="385"/>
    <n v="0.65461998830777401"/>
    <x v="2"/>
    <x v="1"/>
    <n v="99005"/>
    <n v="0.408327324346621"/>
    <s v="retired"/>
    <n v="16"/>
    <s v="Business"/>
    <s v="Houston"/>
    <s v="Missed"/>
    <s v="Late"/>
    <s v="On-time"/>
    <s v="Late"/>
    <s v="Late"/>
    <s v="On-time"/>
  </r>
  <r>
    <x v="309"/>
    <n v="47"/>
    <n v="90697"/>
    <n v="682"/>
    <n v="0.67644315649336095"/>
    <x v="1"/>
    <x v="1"/>
    <n v="46720"/>
    <n v="0.24335932570375099"/>
    <s v="employed"/>
    <n v="16"/>
    <s v="Gold"/>
    <s v="New York"/>
    <s v="Late"/>
    <s v="Missed"/>
    <s v="Missed"/>
    <s v="Late"/>
    <s v="On-time"/>
    <s v="Late"/>
  </r>
  <r>
    <x v="310"/>
    <n v="59"/>
    <n v="19835"/>
    <n v="374"/>
    <n v="0.32418982296482202"/>
    <x v="6"/>
    <x v="0"/>
    <n v="82909"/>
    <n v="0.242079984227867"/>
    <s v="EMP"/>
    <n v="14"/>
    <s v="Gold"/>
    <s v="New York"/>
    <s v="Late"/>
    <s v="Late"/>
    <s v="On-time"/>
    <s v="Missed"/>
    <s v="Late"/>
    <s v="On-time"/>
  </r>
  <r>
    <x v="311"/>
    <n v="52"/>
    <n v="176426"/>
    <n v="320"/>
    <n v="0.392013108092229"/>
    <x v="0"/>
    <x v="1"/>
    <n v="31674"/>
    <n v="0.27750267007116802"/>
    <s v="employed"/>
    <n v="6"/>
    <s v="Business"/>
    <s v="Chicago"/>
    <s v="Missed"/>
    <s v="Late"/>
    <s v="Missed"/>
    <s v="Missed"/>
    <s v="Late"/>
    <s v="Missed"/>
  </r>
  <r>
    <x v="312"/>
    <n v="24"/>
    <n v="194208"/>
    <n v="321"/>
    <n v="0.48734217577220701"/>
    <x v="5"/>
    <x v="0"/>
    <n v="62253"/>
    <n v="0.36362373753789201"/>
    <s v="Unemployed"/>
    <n v="18"/>
    <s v="Gold"/>
    <s v="Houston"/>
    <s v="Missed"/>
    <s v="On-time"/>
    <s v="On-time"/>
    <s v="On-time"/>
    <s v="Late"/>
    <s v="Late"/>
  </r>
  <r>
    <x v="313"/>
    <n v="33"/>
    <n v="181267"/>
    <n v="494"/>
    <n v="0.95417305620710902"/>
    <x v="1"/>
    <x v="0"/>
    <n v="15938"/>
    <n v="0.24893047302458299"/>
    <s v="retired"/>
    <n v="2"/>
    <s v="Business"/>
    <s v="Chicago"/>
    <s v="On-time"/>
    <s v="Missed"/>
    <s v="Late"/>
    <s v="On-time"/>
    <s v="Late"/>
    <s v="On-time"/>
  </r>
  <r>
    <x v="314"/>
    <n v="43"/>
    <n v="77292"/>
    <n v="316"/>
    <n v="0.60902434951778595"/>
    <x v="0"/>
    <x v="0"/>
    <n v="612"/>
    <n v="0.28807375264097501"/>
    <s v="employed"/>
    <n v="10"/>
    <s v="Gold"/>
    <s v="Chicago"/>
    <s v="Late"/>
    <s v="Late"/>
    <s v="Missed"/>
    <s v="Missed"/>
    <s v="Late"/>
    <s v="Late"/>
  </r>
  <r>
    <x v="315"/>
    <n v="65"/>
    <n v="32019"/>
    <n v="419"/>
    <n v="0.31131689699832399"/>
    <x v="5"/>
    <x v="0"/>
    <n v="13355"/>
    <n v="0.32735938163394401"/>
    <s v="Unemployed"/>
    <n v="19"/>
    <s v="Platinum"/>
    <s v="Los Angeles"/>
    <s v="Late"/>
    <s v="On-time"/>
    <s v="Late"/>
    <s v="On-time"/>
    <s v="On-time"/>
    <s v="On-time"/>
  </r>
  <r>
    <x v="316"/>
    <n v="74"/>
    <n v="102235"/>
    <n v="557"/>
    <n v="0.56075606189810101"/>
    <x v="2"/>
    <x v="0"/>
    <n v="10778"/>
    <n v="0.20951080739521299"/>
    <s v="employed"/>
    <n v="18"/>
    <s v="Gold"/>
    <s v="Los Angeles"/>
    <s v="On-time"/>
    <s v="On-time"/>
    <s v="Late"/>
    <s v="Missed"/>
    <s v="Missed"/>
    <s v="On-time"/>
  </r>
  <r>
    <x v="317"/>
    <n v="69"/>
    <n v="120891"/>
    <n v="749"/>
    <n v="0.224661691872383"/>
    <x v="2"/>
    <x v="1"/>
    <n v="66118"/>
    <n v="0.20318917116708801"/>
    <s v="Self-employed"/>
    <n v="8"/>
    <s v="Student"/>
    <s v="Houston"/>
    <s v="On-time"/>
    <s v="Late"/>
    <s v="On-time"/>
    <s v="On-time"/>
    <s v="Missed"/>
    <s v="Late"/>
  </r>
  <r>
    <x v="318"/>
    <n v="66"/>
    <n v="33017"/>
    <n v="625"/>
    <n v="0.64359806198323399"/>
    <x v="1"/>
    <x v="0"/>
    <n v="30443"/>
    <n v="0.28417361185959999"/>
    <s v="retired"/>
    <n v="9"/>
    <s v="Business"/>
    <s v="Phoenix"/>
    <s v="Missed"/>
    <s v="Missed"/>
    <s v="Missed"/>
    <s v="Late"/>
    <s v="On-time"/>
    <s v="On-time"/>
  </r>
  <r>
    <x v="319"/>
    <n v="19"/>
    <n v="53765"/>
    <n v="446"/>
    <n v="0.83510947870889696"/>
    <x v="0"/>
    <x v="1"/>
    <n v="86846"/>
    <n v="0.29741788149516402"/>
    <s v="employed"/>
    <n v="1"/>
    <s v="Standard"/>
    <s v="Los Angeles"/>
    <s v="Late"/>
    <s v="Missed"/>
    <s v="On-time"/>
    <s v="On-time"/>
    <s v="Missed"/>
    <s v="On-time"/>
  </r>
  <r>
    <x v="320"/>
    <n v="18"/>
    <n v="53513"/>
    <n v="391"/>
    <n v="0.83595833701679101"/>
    <x v="3"/>
    <x v="0"/>
    <n v="82382"/>
    <n v="0.343388548000164"/>
    <s v="Unemployed"/>
    <n v="0"/>
    <s v="Standard"/>
    <s v="Phoenix"/>
    <s v="Missed"/>
    <s v="On-time"/>
    <s v="Late"/>
    <s v="Missed"/>
    <s v="Missed"/>
    <s v="Late"/>
  </r>
  <r>
    <x v="321"/>
    <n v="65"/>
    <n v="184160"/>
    <n v="316"/>
    <n v="0.64697870069486696"/>
    <x v="5"/>
    <x v="0"/>
    <n v="95303"/>
    <n v="0.367188657495155"/>
    <s v="retired"/>
    <n v="15"/>
    <s v="Business"/>
    <s v="New York"/>
    <s v="Late"/>
    <s v="On-time"/>
    <s v="On-time"/>
    <s v="Late"/>
    <s v="Late"/>
    <s v="On-time"/>
  </r>
  <r>
    <x v="322"/>
    <n v="29"/>
    <n v="70393"/>
    <n v="715"/>
    <n v="0.38331752882637399"/>
    <x v="6"/>
    <x v="0"/>
    <n v="87110"/>
    <n v="0.190093717942835"/>
    <s v="EMP"/>
    <n v="17"/>
    <s v="Platinum"/>
    <s v="Los Angeles"/>
    <s v="Missed"/>
    <s v="On-time"/>
    <s v="Missed"/>
    <s v="Missed"/>
    <s v="Missed"/>
    <s v="On-time"/>
  </r>
  <r>
    <x v="323"/>
    <n v="22"/>
    <n v="193352"/>
    <n v="471"/>
    <n v="0.23981964869717401"/>
    <x v="0"/>
    <x v="0"/>
    <n v="80430"/>
    <n v="0.21879150680564299"/>
    <s v="Self-employed"/>
    <n v="16"/>
    <s v="Gold"/>
    <s v="Los Angeles"/>
    <s v="On-time"/>
    <s v="On-time"/>
    <s v="On-time"/>
    <s v="On-time"/>
    <s v="Missed"/>
    <s v="On-time"/>
  </r>
  <r>
    <x v="324"/>
    <n v="54"/>
    <n v="137402"/>
    <n v="358"/>
    <n v="0.21995899132617799"/>
    <x v="6"/>
    <x v="0"/>
    <n v="32615"/>
    <n v="0.20292477124368899"/>
    <s v="Unemployed"/>
    <n v="5"/>
    <s v="Platinum"/>
    <s v="Houston"/>
    <s v="Missed"/>
    <s v="On-time"/>
    <s v="Missed"/>
    <s v="Late"/>
    <s v="On-time"/>
    <s v="Late"/>
  </r>
  <r>
    <x v="325"/>
    <n v="49"/>
    <n v="18709"/>
    <n v="534"/>
    <n v="0.05"/>
    <x v="0"/>
    <x v="0"/>
    <n v="62561"/>
    <n v="0.441244740159142"/>
    <s v="EMP"/>
    <n v="13"/>
    <s v="Standard"/>
    <s v="Phoenix"/>
    <s v="On-time"/>
    <s v="Missed"/>
    <s v="On-time"/>
    <s v="Missed"/>
    <s v="Missed"/>
    <s v="Missed"/>
  </r>
  <r>
    <x v="326"/>
    <n v="72"/>
    <n v="153311"/>
    <n v="696"/>
    <n v="0.63877115260158401"/>
    <x v="3"/>
    <x v="0"/>
    <n v="3081"/>
    <n v="0.28797294097974602"/>
    <s v="employed"/>
    <n v="14"/>
    <s v="Business"/>
    <s v="Los Angeles"/>
    <s v="Late"/>
    <s v="Late"/>
    <s v="Missed"/>
    <s v="On-time"/>
    <s v="Missed"/>
    <s v="Late"/>
  </r>
  <r>
    <x v="327"/>
    <n v="26"/>
    <n v="106267"/>
    <n v="471"/>
    <n v="0.47943289595512001"/>
    <x v="3"/>
    <x v="0"/>
    <n v="43927"/>
    <n v="0.30161292952450203"/>
    <s v="EMP"/>
    <n v="13"/>
    <s v="Business"/>
    <s v="Los Angeles"/>
    <s v="Missed"/>
    <s v="Missed"/>
    <s v="Missed"/>
    <s v="Late"/>
    <s v="Missed"/>
    <s v="Missed"/>
  </r>
  <r>
    <x v="328"/>
    <n v="58"/>
    <n v="179506"/>
    <n v="461"/>
    <n v="0.68184323329062502"/>
    <x v="1"/>
    <x v="0"/>
    <n v="32615"/>
    <n v="0.30577743640135102"/>
    <s v="Unemployed"/>
    <n v="2"/>
    <s v="Platinum"/>
    <s v="Houston"/>
    <s v="On-time"/>
    <s v="Missed"/>
    <s v="Late"/>
    <s v="Missed"/>
    <s v="On-time"/>
    <s v="Late"/>
  </r>
  <r>
    <x v="329"/>
    <n v="52"/>
    <n v="26174"/>
    <n v="556"/>
    <n v="0.78560629704695695"/>
    <x v="1"/>
    <x v="0"/>
    <n v="92183"/>
    <n v="0.22843299862823599"/>
    <s v="Unemployed"/>
    <n v="18"/>
    <s v="Platinum"/>
    <s v="Houston"/>
    <s v="Late"/>
    <s v="On-time"/>
    <s v="On-time"/>
    <s v="Late"/>
    <s v="On-time"/>
    <s v="On-time"/>
  </r>
  <r>
    <x v="330"/>
    <n v="36"/>
    <n v="43251"/>
    <n v="644"/>
    <n v="0.51998110878048198"/>
    <x v="3"/>
    <x v="0"/>
    <n v="39259"/>
    <n v="0.45642695189460297"/>
    <s v="employed"/>
    <n v="11"/>
    <s v="Gold"/>
    <s v="Phoenix"/>
    <s v="On-time"/>
    <s v="Missed"/>
    <s v="Missed"/>
    <s v="On-time"/>
    <s v="Missed"/>
    <s v="Late"/>
  </r>
  <r>
    <x v="331"/>
    <n v="65"/>
    <n v="81234"/>
    <n v="326"/>
    <n v="0.52919232194263"/>
    <x v="4"/>
    <x v="0"/>
    <n v="17023"/>
    <n v="0.34110266548187201"/>
    <s v="EMP"/>
    <n v="1"/>
    <s v="Student"/>
    <s v="New York"/>
    <s v="On-time"/>
    <s v="Late"/>
    <s v="Late"/>
    <s v="Late"/>
    <s v="Missed"/>
    <s v="On-time"/>
  </r>
  <r>
    <x v="332"/>
    <n v="33"/>
    <n v="85640"/>
    <n v="522"/>
    <n v="0.407135931100506"/>
    <x v="3"/>
    <x v="0"/>
    <n v="80150"/>
    <n v="0.30395905297779402"/>
    <s v="EMP"/>
    <n v="2"/>
    <s v="Student"/>
    <s v="New York"/>
    <s v="Missed"/>
    <s v="Late"/>
    <s v="Late"/>
    <s v="Missed"/>
    <s v="On-time"/>
    <s v="Late"/>
  </r>
  <r>
    <x v="333"/>
    <n v="20"/>
    <n v="67638"/>
    <n v="498"/>
    <n v="0.43078311656551799"/>
    <x v="2"/>
    <x v="0"/>
    <n v="27446"/>
    <n v="0.18947435788494299"/>
    <s v="employed"/>
    <n v="17"/>
    <s v="Gold"/>
    <s v="Chicago"/>
    <s v="Missed"/>
    <s v="Late"/>
    <s v="On-time"/>
    <s v="On-time"/>
    <s v="On-time"/>
    <s v="Missed"/>
  </r>
  <r>
    <x v="334"/>
    <n v="37"/>
    <n v="81234"/>
    <n v="339"/>
    <n v="0.64569398249458598"/>
    <x v="2"/>
    <x v="1"/>
    <n v="91557"/>
    <n v="0.183806750834375"/>
    <s v="EMP"/>
    <n v="0"/>
    <s v="Student"/>
    <s v="Los Angeles"/>
    <s v="On-time"/>
    <s v="On-time"/>
    <s v="Late"/>
    <s v="On-time"/>
    <s v="Missed"/>
    <s v="Late"/>
  </r>
  <r>
    <x v="335"/>
    <n v="41"/>
    <n v="159356"/>
    <n v="658"/>
    <n v="0.46512499392693701"/>
    <x v="4"/>
    <x v="0"/>
    <n v="44449"/>
    <n v="0.269109246839423"/>
    <s v="retired"/>
    <n v="19"/>
    <s v="Standard"/>
    <s v="Phoenix"/>
    <s v="Missed"/>
    <s v="Missed"/>
    <s v="Late"/>
    <s v="Missed"/>
    <s v="Missed"/>
    <s v="Late"/>
  </r>
  <r>
    <x v="336"/>
    <n v="71"/>
    <n v="150230"/>
    <n v="627"/>
    <n v="0.43619846664943501"/>
    <x v="5"/>
    <x v="1"/>
    <n v="31316"/>
    <n v="0.23000082064281699"/>
    <s v="employed"/>
    <n v="5"/>
    <s v="Student"/>
    <s v="Los Angeles"/>
    <s v="On-time"/>
    <s v="Late"/>
    <s v="On-time"/>
    <s v="On-time"/>
    <s v="On-time"/>
    <s v="Late"/>
  </r>
  <r>
    <x v="337"/>
    <n v="73"/>
    <n v="120570"/>
    <n v="820"/>
    <n v="0.49633662811142898"/>
    <x v="6"/>
    <x v="0"/>
    <n v="61186"/>
    <n v="0.193255565445344"/>
    <s v="Self-employed"/>
    <n v="4"/>
    <s v="Gold"/>
    <s v="Phoenix"/>
    <s v="On-time"/>
    <s v="Missed"/>
    <s v="Late"/>
    <s v="Late"/>
    <s v="On-time"/>
    <s v="Missed"/>
  </r>
  <r>
    <x v="338"/>
    <n v="50"/>
    <n v="117795"/>
    <n v="591"/>
    <n v="0.67726603921231798"/>
    <x v="0"/>
    <x v="1"/>
    <n v="51016"/>
    <n v="0.26290419804284398"/>
    <s v="Unemployed"/>
    <n v="0"/>
    <s v="Student"/>
    <s v="Phoenix"/>
    <s v="Late"/>
    <s v="Missed"/>
    <s v="Missed"/>
    <s v="Late"/>
    <s v="Missed"/>
    <s v="Late"/>
  </r>
  <r>
    <x v="339"/>
    <n v="41"/>
    <n v="62295"/>
    <n v="715"/>
    <n v="0.36146768843397897"/>
    <x v="0"/>
    <x v="1"/>
    <n v="86488"/>
    <n v="0.27835719717241098"/>
    <s v="Self-employed"/>
    <n v="18"/>
    <s v="Business"/>
    <s v="Phoenix"/>
    <s v="Late"/>
    <s v="Late"/>
    <s v="On-time"/>
    <s v="Missed"/>
    <s v="Late"/>
    <s v="Missed"/>
  </r>
  <r>
    <x v="340"/>
    <n v="69"/>
    <n v="70479"/>
    <n v="361"/>
    <n v="0.486694296489593"/>
    <x v="4"/>
    <x v="0"/>
    <n v="11308"/>
    <n v="0.31417854204602602"/>
    <s v="retired"/>
    <n v="0"/>
    <s v="Platinum"/>
    <s v="Los Angeles"/>
    <s v="On-time"/>
    <s v="Late"/>
    <s v="Late"/>
    <s v="Missed"/>
    <s v="Late"/>
    <s v="Missed"/>
  </r>
  <r>
    <x v="341"/>
    <n v="28"/>
    <n v="166836"/>
    <n v="495"/>
    <n v="0.54905556755568596"/>
    <x v="2"/>
    <x v="0"/>
    <n v="62253"/>
    <n v="0.24960805286257301"/>
    <s v="retired"/>
    <n v="15"/>
    <s v="Standard"/>
    <s v="Houston"/>
    <s v="Missed"/>
    <s v="Missed"/>
    <s v="On-time"/>
    <s v="Late"/>
    <s v="Late"/>
    <s v="Missed"/>
  </r>
  <r>
    <x v="342"/>
    <n v="66"/>
    <n v="18267"/>
    <n v="541"/>
    <n v="0.73204438071704703"/>
    <x v="1"/>
    <x v="0"/>
    <m/>
    <n v="0.199239930533996"/>
    <s v="employed"/>
    <n v="11"/>
    <s v="Business"/>
    <s v="Los Angeles"/>
    <s v="Late"/>
    <s v="On-time"/>
    <s v="Missed"/>
    <s v="Late"/>
    <s v="Missed"/>
    <s v="On-time"/>
  </r>
  <r>
    <x v="343"/>
    <n v="25"/>
    <n v="118333"/>
    <n v="486"/>
    <n v="0.452140644640116"/>
    <x v="0"/>
    <x v="0"/>
    <n v="72809"/>
    <n v="0.20270791140087499"/>
    <s v="employed"/>
    <n v="7"/>
    <s v="Business"/>
    <s v="Phoenix"/>
    <s v="On-time"/>
    <s v="On-time"/>
    <s v="On-time"/>
    <s v="On-time"/>
    <s v="Missed"/>
    <s v="Late"/>
  </r>
  <r>
    <x v="344"/>
    <n v="53"/>
    <n v="119573"/>
    <n v="465"/>
    <n v="0.35643532278965501"/>
    <x v="2"/>
    <x v="0"/>
    <n v="89660"/>
    <n v="0.42129727292261798"/>
    <s v="employed"/>
    <n v="15"/>
    <s v="Gold"/>
    <s v="Chicago"/>
    <s v="On-time"/>
    <s v="Missed"/>
    <s v="On-time"/>
    <s v="On-time"/>
    <s v="On-time"/>
    <s v="Late"/>
  </r>
  <r>
    <x v="345"/>
    <n v="55"/>
    <n v="136790"/>
    <n v="655"/>
    <n v="0.40312781114552798"/>
    <x v="5"/>
    <x v="0"/>
    <n v="42551"/>
    <n v="0.17482423136382499"/>
    <s v="employed"/>
    <n v="0"/>
    <s v="Platinum"/>
    <s v="New York"/>
    <s v="On-time"/>
    <s v="On-time"/>
    <s v="On-time"/>
    <s v="Late"/>
    <s v="Missed"/>
    <s v="Missed"/>
  </r>
  <r>
    <x v="346"/>
    <n v="57"/>
    <n v="117023"/>
    <n v="700"/>
    <n v="0.71061148660307505"/>
    <x v="6"/>
    <x v="0"/>
    <n v="89537"/>
    <n v="0.33631822982912701"/>
    <s v="EMP"/>
    <n v="3"/>
    <s v="Platinum"/>
    <s v="Phoenix"/>
    <s v="On-time"/>
    <s v="Late"/>
    <s v="Missed"/>
    <s v="Missed"/>
    <s v="Missed"/>
    <s v="Missed"/>
  </r>
  <r>
    <x v="347"/>
    <n v="37"/>
    <n v="112007"/>
    <n v="416"/>
    <n v="0.906661059720693"/>
    <x v="5"/>
    <x v="0"/>
    <n v="56061"/>
    <n v="0.35195463297743901"/>
    <s v="retired"/>
    <n v="9"/>
    <s v="Standard"/>
    <s v="Chicago"/>
    <s v="Late"/>
    <s v="On-time"/>
    <s v="Late"/>
    <s v="On-time"/>
    <s v="Late"/>
    <s v="On-time"/>
  </r>
  <r>
    <x v="348"/>
    <n v="52"/>
    <n v="99665"/>
    <n v="789"/>
    <n v="0.23724843726279299"/>
    <x v="4"/>
    <x v="0"/>
    <n v="76567"/>
    <n v="0.287872452416433"/>
    <s v="Self-employed"/>
    <n v="10"/>
    <s v="Gold"/>
    <s v="Houston"/>
    <s v="Missed"/>
    <s v="On-time"/>
    <s v="Missed"/>
    <s v="Missed"/>
    <s v="On-time"/>
    <s v="On-time"/>
  </r>
  <r>
    <x v="349"/>
    <n v="65"/>
    <n v="38289"/>
    <n v="493"/>
    <n v="0.28093967698602801"/>
    <x v="3"/>
    <x v="0"/>
    <n v="79013"/>
    <n v="0.47678290584051702"/>
    <s v="Self-employed"/>
    <n v="16"/>
    <s v="Standard"/>
    <s v="Phoenix"/>
    <s v="On-time"/>
    <s v="Missed"/>
    <s v="Late"/>
    <s v="Late"/>
    <s v="On-time"/>
    <s v="Late"/>
  </r>
  <r>
    <x v="350"/>
    <n v="42"/>
    <n v="167424"/>
    <n v="341"/>
    <n v="0.46624064265956999"/>
    <x v="3"/>
    <x v="1"/>
    <n v="52259"/>
    <n v="0.35017189930276899"/>
    <s v="Self-employed"/>
    <n v="6"/>
    <s v="Student"/>
    <s v="Chicago"/>
    <s v="Missed"/>
    <s v="On-time"/>
    <s v="Late"/>
    <s v="On-time"/>
    <s v="Late"/>
    <s v="Missed"/>
  </r>
  <r>
    <x v="351"/>
    <n v="52"/>
    <n v="98613"/>
    <n v="820"/>
    <n v="0.522191219213608"/>
    <x v="3"/>
    <x v="0"/>
    <n v="2200"/>
    <n v="0.48429030483046498"/>
    <s v="Self-employed"/>
    <n v="11"/>
    <s v="Business"/>
    <s v="Phoenix"/>
    <s v="Missed"/>
    <s v="Late"/>
    <s v="Late"/>
    <s v="Late"/>
    <s v="Late"/>
    <s v="Missed"/>
  </r>
  <r>
    <x v="352"/>
    <n v="42"/>
    <n v="176426"/>
    <n v="736"/>
    <n v="0.65739391311099904"/>
    <x v="5"/>
    <x v="0"/>
    <n v="47695"/>
    <n v="0.23489359980851199"/>
    <s v="employed"/>
    <n v="6"/>
    <s v="Standard"/>
    <s v="Los Angeles"/>
    <s v="Missed"/>
    <s v="Missed"/>
    <s v="Late"/>
    <s v="Late"/>
    <s v="On-time"/>
    <s v="Missed"/>
  </r>
  <r>
    <x v="353"/>
    <n v="46"/>
    <n v="33017"/>
    <n v="622"/>
    <n v="0.32177339827970203"/>
    <x v="0"/>
    <x v="0"/>
    <n v="86828"/>
    <n v="0.23660545901065799"/>
    <s v="Self-employed"/>
    <n v="11"/>
    <s v="Business"/>
    <s v="Chicago"/>
    <s v="On-time"/>
    <s v="Missed"/>
    <s v="On-time"/>
    <s v="Missed"/>
    <s v="Missed"/>
    <s v="Late"/>
  </r>
  <r>
    <x v="354"/>
    <n v="35"/>
    <n v="52744"/>
    <n v="700"/>
    <n v="0.287378192670107"/>
    <x v="6"/>
    <x v="0"/>
    <n v="24623"/>
    <n v="0.35275371586800103"/>
    <s v="EMP"/>
    <n v="14"/>
    <s v="Gold"/>
    <s v="Los Angeles"/>
    <s v="Missed"/>
    <s v="On-time"/>
    <s v="Missed"/>
    <s v="On-time"/>
    <s v="On-time"/>
    <s v="Late"/>
  </r>
  <r>
    <x v="355"/>
    <n v="63"/>
    <n v="149415"/>
    <n v="385"/>
    <n v="0.52761743062672595"/>
    <x v="3"/>
    <x v="1"/>
    <n v="4265"/>
    <n v="0.27385343626807901"/>
    <s v="employed"/>
    <n v="1"/>
    <s v="Student"/>
    <s v="Los Angeles"/>
    <s v="On-time"/>
    <s v="On-time"/>
    <s v="Missed"/>
    <s v="Late"/>
    <s v="Missed"/>
    <s v="Late"/>
  </r>
  <r>
    <x v="356"/>
    <n v="35"/>
    <n v="32955"/>
    <n v="359"/>
    <n v="0.44831985595856599"/>
    <x v="4"/>
    <x v="1"/>
    <n v="77348"/>
    <n v="0.46856654248920099"/>
    <s v="Self-employed"/>
    <n v="13"/>
    <s v="Gold"/>
    <s v="Chicago"/>
    <s v="Missed"/>
    <s v="On-time"/>
    <s v="Missed"/>
    <s v="On-time"/>
    <s v="Late"/>
    <s v="Missed"/>
  </r>
  <r>
    <x v="357"/>
    <n v="19"/>
    <n v="36677"/>
    <n v="611"/>
    <n v="0.68534419955430503"/>
    <x v="4"/>
    <x v="1"/>
    <n v="11251"/>
    <n v="0.334170038363093"/>
    <s v="employed"/>
    <n v="12"/>
    <s v="Student"/>
    <s v="New York"/>
    <s v="Missed"/>
    <s v="On-time"/>
    <s v="Late"/>
    <s v="On-time"/>
    <s v="Late"/>
    <s v="On-time"/>
  </r>
  <r>
    <x v="358"/>
    <n v="71"/>
    <n v="198062"/>
    <n v="538"/>
    <n v="0.59747196063807595"/>
    <x v="3"/>
    <x v="0"/>
    <n v="25807"/>
    <n v="0.19554257801432801"/>
    <s v="Unemployed"/>
    <n v="3"/>
    <s v="Student"/>
    <s v="Chicago"/>
    <s v="On-time"/>
    <s v="On-time"/>
    <s v="Missed"/>
    <s v="Missed"/>
    <s v="On-time"/>
    <s v="Missed"/>
  </r>
  <r>
    <x v="359"/>
    <n v="52"/>
    <n v="137402"/>
    <n v="617"/>
    <n v="0.61107586952664295"/>
    <x v="3"/>
    <x v="0"/>
    <n v="78035"/>
    <n v="0.126318359145597"/>
    <s v="Unemployed"/>
    <n v="13"/>
    <s v="Business"/>
    <s v="New York"/>
    <s v="Missed"/>
    <s v="On-time"/>
    <s v="On-time"/>
    <s v="Missed"/>
    <s v="Late"/>
    <s v="Late"/>
  </r>
  <r>
    <x v="360"/>
    <n v="33"/>
    <n v="38524"/>
    <n v="311"/>
    <n v="0.47910373072462598"/>
    <x v="6"/>
    <x v="0"/>
    <n v="68998"/>
    <n v="0.292176140765673"/>
    <s v="Unemployed"/>
    <n v="13"/>
    <s v="Gold"/>
    <s v="Phoenix"/>
    <s v="On-time"/>
    <s v="Missed"/>
    <s v="Late"/>
    <s v="On-time"/>
    <s v="On-time"/>
    <s v="Missed"/>
  </r>
  <r>
    <x v="361"/>
    <n v="58"/>
    <n v="180421"/>
    <n v="679"/>
    <n v="0.97111605171364102"/>
    <x v="3"/>
    <x v="0"/>
    <n v="53553"/>
    <n v="0.29108768704667598"/>
    <s v="employed"/>
    <n v="15"/>
    <s v="Gold"/>
    <s v="Phoenix"/>
    <s v="Late"/>
    <s v="Missed"/>
    <s v="Late"/>
    <s v="On-time"/>
    <s v="On-time"/>
    <s v="Late"/>
  </r>
  <r>
    <x v="362"/>
    <n v="53"/>
    <n v="107193"/>
    <n v="316"/>
    <n v="0.33245040368124801"/>
    <x v="6"/>
    <x v="1"/>
    <n v="86447"/>
    <n v="0.33137659233083799"/>
    <s v="Self-employed"/>
    <n v="6"/>
    <s v="Standard"/>
    <s v="Chicago"/>
    <s v="Missed"/>
    <s v="Missed"/>
    <s v="Missed"/>
    <s v="Missed"/>
    <s v="Late"/>
    <s v="Missed"/>
  </r>
  <r>
    <x v="363"/>
    <n v="50"/>
    <n v="21949"/>
    <n v="682"/>
    <n v="0.62216196675095503"/>
    <x v="4"/>
    <x v="0"/>
    <n v="31449"/>
    <n v="0.42106905737558997"/>
    <s v="retired"/>
    <n v="18"/>
    <s v="Gold"/>
    <s v="Phoenix"/>
    <s v="Late"/>
    <s v="On-time"/>
    <s v="On-time"/>
    <s v="Late"/>
    <s v="Missed"/>
    <s v="Late"/>
  </r>
  <r>
    <x v="364"/>
    <n v="21"/>
    <n v="34870"/>
    <n v="622"/>
    <n v="0.246062002585378"/>
    <x v="3"/>
    <x v="0"/>
    <n v="13761"/>
    <n v="0.40791133039939198"/>
    <s v="retired"/>
    <n v="1"/>
    <s v="Standard"/>
    <s v="Houston"/>
    <s v="Missed"/>
    <s v="On-time"/>
    <s v="Late"/>
    <s v="Late"/>
    <s v="On-time"/>
    <s v="Late"/>
  </r>
  <r>
    <x v="365"/>
    <n v="50"/>
    <n v="59811"/>
    <n v="475"/>
    <n v="0.285306464452109"/>
    <x v="5"/>
    <x v="0"/>
    <n v="23125"/>
    <n v="0.242109896766356"/>
    <s v="retired"/>
    <n v="9"/>
    <s v="Platinum"/>
    <s v="Los Angeles"/>
    <s v="Missed"/>
    <s v="On-time"/>
    <s v="Late"/>
    <s v="Missed"/>
    <s v="Missed"/>
    <s v="On-time"/>
  </r>
  <r>
    <x v="366"/>
    <n v="31"/>
    <n v="42350"/>
    <n v="389"/>
    <n v="0.37853088024690901"/>
    <x v="1"/>
    <x v="0"/>
    <n v="50310"/>
    <n v="0.17061805981955699"/>
    <s v="employed"/>
    <n v="17"/>
    <s v="Platinum"/>
    <s v="Los Angeles"/>
    <s v="Missed"/>
    <s v="On-time"/>
    <s v="On-time"/>
    <s v="Missed"/>
    <s v="Late"/>
    <s v="Late"/>
  </r>
  <r>
    <x v="367"/>
    <n v="38"/>
    <n v="118081"/>
    <n v="523"/>
    <n v="0.82586466732360497"/>
    <x v="5"/>
    <x v="0"/>
    <n v="74288"/>
    <n v="0.17658788649909199"/>
    <s v="EMP"/>
    <n v="16"/>
    <s v="Platinum"/>
    <s v="New York"/>
    <s v="Late"/>
    <s v="Missed"/>
    <s v="Late"/>
    <s v="Late"/>
    <s v="On-time"/>
    <s v="Missed"/>
  </r>
  <r>
    <x v="368"/>
    <n v="65"/>
    <n v="28807"/>
    <n v="728"/>
    <n v="0.55277888609080295"/>
    <x v="4"/>
    <x v="0"/>
    <n v="24670"/>
    <n v="0.226319829467862"/>
    <s v="employed"/>
    <n v="4"/>
    <s v="Gold"/>
    <s v="Phoenix"/>
    <s v="Late"/>
    <s v="On-time"/>
    <s v="Missed"/>
    <s v="On-time"/>
    <s v="On-time"/>
    <s v="On-time"/>
  </r>
  <r>
    <x v="369"/>
    <n v="37"/>
    <m/>
    <n v="459"/>
    <n v="0.381904386291124"/>
    <x v="6"/>
    <x v="0"/>
    <n v="62561"/>
    <n v="0.263326845196098"/>
    <s v="employed"/>
    <n v="11"/>
    <s v="Gold"/>
    <s v="New York"/>
    <s v="On-time"/>
    <s v="Missed"/>
    <s v="On-time"/>
    <s v="Late"/>
    <s v="Late"/>
    <s v="Missed"/>
  </r>
  <r>
    <x v="370"/>
    <n v="73"/>
    <m/>
    <n v="384"/>
    <n v="0.57488726519091404"/>
    <x v="5"/>
    <x v="0"/>
    <n v="91970"/>
    <n v="0.33050621389651602"/>
    <s v="Unemployed"/>
    <n v="5"/>
    <s v="Standard"/>
    <s v="Los Angeles"/>
    <s v="Late"/>
    <s v="Late"/>
    <s v="Late"/>
    <s v="Missed"/>
    <s v="Missed"/>
    <s v="Missed"/>
  </r>
  <r>
    <x v="371"/>
    <n v="25"/>
    <n v="90353"/>
    <n v="643"/>
    <n v="0.50702957628490097"/>
    <x v="6"/>
    <x v="0"/>
    <n v="88423"/>
    <n v="0.21990324031040201"/>
    <s v="Unemployed"/>
    <n v="8"/>
    <s v="Student"/>
    <s v="Los Angeles"/>
    <s v="Missed"/>
    <s v="Late"/>
    <s v="Missed"/>
    <s v="On-time"/>
    <s v="Missed"/>
    <s v="Late"/>
  </r>
  <r>
    <x v="372"/>
    <n v="24"/>
    <n v="42350"/>
    <n v="664"/>
    <n v="0.40160532617217598"/>
    <x v="5"/>
    <x v="0"/>
    <n v="11251"/>
    <n v="0.328039197111331"/>
    <s v="retired"/>
    <n v="19"/>
    <s v="Standard"/>
    <s v="Phoenix"/>
    <s v="Late"/>
    <s v="On-time"/>
    <s v="On-time"/>
    <s v="Late"/>
    <s v="Missed"/>
    <s v="Late"/>
  </r>
  <r>
    <x v="373"/>
    <n v="20"/>
    <n v="76813"/>
    <n v="693"/>
    <n v="0.22067422884235399"/>
    <x v="5"/>
    <x v="0"/>
    <n v="85678"/>
    <n v="0.33620401458590499"/>
    <s v="retired"/>
    <n v="0"/>
    <s v="Platinum"/>
    <s v="Houston"/>
    <s v="On-time"/>
    <s v="On-time"/>
    <s v="On-time"/>
    <s v="Missed"/>
    <s v="Late"/>
    <s v="Late"/>
  </r>
  <r>
    <x v="374"/>
    <n v="34"/>
    <n v="101900"/>
    <n v="648"/>
    <n v="0.78770849690245803"/>
    <x v="6"/>
    <x v="1"/>
    <n v="48942"/>
    <n v="0.31433438825958798"/>
    <s v="Unemployed"/>
    <n v="14"/>
    <s v="Standard"/>
    <s v="Houston"/>
    <s v="Missed"/>
    <s v="Missed"/>
    <s v="Missed"/>
    <s v="Missed"/>
    <s v="On-time"/>
    <s v="Missed"/>
  </r>
  <r>
    <x v="375"/>
    <n v="50"/>
    <m/>
    <n v="773"/>
    <n v="0.54196362574200796"/>
    <x v="0"/>
    <x v="0"/>
    <n v="7468"/>
    <n v="0.18713770029873"/>
    <s v="Self-employed"/>
    <n v="5"/>
    <s v="Student"/>
    <s v="Phoenix"/>
    <s v="Missed"/>
    <s v="Missed"/>
    <s v="Late"/>
    <s v="On-time"/>
    <s v="Missed"/>
    <s v="Late"/>
  </r>
  <r>
    <x v="376"/>
    <n v="65"/>
    <m/>
    <n v="781"/>
    <n v="0.93474767469364695"/>
    <x v="5"/>
    <x v="0"/>
    <n v="26000"/>
    <n v="0.34678267252359501"/>
    <s v="EMP"/>
    <n v="18"/>
    <s v="Gold"/>
    <s v="Phoenix"/>
    <s v="On-time"/>
    <s v="Late"/>
    <s v="On-time"/>
    <s v="Late"/>
    <s v="On-time"/>
    <s v="On-time"/>
  </r>
  <r>
    <x v="377"/>
    <n v="29"/>
    <n v="68932"/>
    <n v="535"/>
    <n v="0.68806432410817597"/>
    <x v="3"/>
    <x v="0"/>
    <n v="82909"/>
    <n v="0.50812696287667203"/>
    <s v="EMP"/>
    <n v="17"/>
    <s v="Standard"/>
    <s v="New York"/>
    <s v="Late"/>
    <s v="Late"/>
    <s v="On-time"/>
    <s v="Missed"/>
    <s v="On-time"/>
    <s v="Late"/>
  </r>
  <r>
    <x v="378"/>
    <n v="68"/>
    <m/>
    <m/>
    <n v="0.61026394495220804"/>
    <x v="1"/>
    <x v="0"/>
    <n v="27490"/>
    <n v="0.32458968269129002"/>
    <s v="EMP"/>
    <n v="5"/>
    <s v="Platinum"/>
    <s v="Phoenix"/>
    <s v="Missed"/>
    <s v="Missed"/>
    <s v="Missed"/>
    <s v="Late"/>
    <s v="On-time"/>
    <s v="Late"/>
  </r>
  <r>
    <x v="379"/>
    <n v="39"/>
    <n v="150230"/>
    <n v="742"/>
    <n v="0.41295913427660602"/>
    <x v="4"/>
    <x v="1"/>
    <n v="33472"/>
    <n v="0.1"/>
    <s v="EMP"/>
    <n v="12"/>
    <s v="Platinum"/>
    <s v="Houston"/>
    <s v="Late"/>
    <s v="Late"/>
    <s v="On-time"/>
    <s v="Missed"/>
    <s v="Missed"/>
    <s v="Late"/>
  </r>
  <r>
    <x v="380"/>
    <n v="72"/>
    <n v="100999"/>
    <n v="823"/>
    <n v="0.28093088722861598"/>
    <x v="0"/>
    <x v="0"/>
    <n v="13355"/>
    <n v="0.42408795720469"/>
    <s v="Unemployed"/>
    <n v="0"/>
    <s v="Gold"/>
    <s v="Phoenix"/>
    <s v="Late"/>
    <s v="On-time"/>
    <s v="Late"/>
    <s v="Missed"/>
    <s v="Late"/>
    <s v="On-time"/>
  </r>
  <r>
    <x v="381"/>
    <n v="39"/>
    <n v="88963"/>
    <n v="310"/>
    <n v="0.45645380310230999"/>
    <x v="6"/>
    <x v="0"/>
    <n v="6118"/>
    <n v="0.22972522233006101"/>
    <s v="employed"/>
    <n v="12"/>
    <s v="Standard"/>
    <s v="New York"/>
    <s v="Missed"/>
    <s v="On-time"/>
    <s v="On-time"/>
    <s v="Late"/>
    <s v="Late"/>
    <s v="On-time"/>
  </r>
  <r>
    <x v="382"/>
    <n v="63"/>
    <n v="120616"/>
    <n v="345"/>
    <n v="0.27514148115883302"/>
    <x v="0"/>
    <x v="0"/>
    <n v="98999"/>
    <n v="0.52657126904956897"/>
    <s v="Unemployed"/>
    <n v="6"/>
    <s v="Student"/>
    <s v="New York"/>
    <s v="Late"/>
    <s v="Late"/>
    <s v="Missed"/>
    <s v="Missed"/>
    <s v="Late"/>
    <s v="Missed"/>
  </r>
  <r>
    <x v="383"/>
    <n v="47"/>
    <n v="61540"/>
    <n v="414"/>
    <n v="0.63003807614615004"/>
    <x v="2"/>
    <x v="0"/>
    <n v="37658"/>
    <n v="0.31163634513659599"/>
    <s v="EMP"/>
    <n v="14"/>
    <s v="Gold"/>
    <s v="New York"/>
    <s v="On-time"/>
    <s v="Missed"/>
    <s v="Missed"/>
    <s v="Late"/>
    <s v="On-time"/>
    <s v="Missed"/>
  </r>
  <r>
    <x v="384"/>
    <n v="55"/>
    <n v="53756"/>
    <n v="611"/>
    <n v="0.82653049953942603"/>
    <x v="2"/>
    <x v="0"/>
    <n v="94309"/>
    <n v="0.13152993060141699"/>
    <s v="Unemployed"/>
    <n v="11"/>
    <s v="Standard"/>
    <s v="New York"/>
    <s v="Missed"/>
    <s v="Late"/>
    <s v="Late"/>
    <s v="Missed"/>
    <s v="On-time"/>
    <s v="Missed"/>
  </r>
  <r>
    <x v="385"/>
    <n v="55"/>
    <n v="109297"/>
    <n v="806"/>
    <n v="0.44781754677657298"/>
    <x v="5"/>
    <x v="0"/>
    <n v="33354"/>
    <n v="0.1"/>
    <s v="EMP"/>
    <n v="0"/>
    <s v="Business"/>
    <s v="Chicago"/>
    <s v="Missed"/>
    <s v="Missed"/>
    <s v="On-time"/>
    <s v="Late"/>
    <s v="Late"/>
    <s v="On-time"/>
  </r>
  <r>
    <x v="386"/>
    <n v="62"/>
    <m/>
    <n v="383"/>
    <n v="0.68889819447823897"/>
    <x v="5"/>
    <x v="0"/>
    <n v="48942"/>
    <n v="0.45397407626758701"/>
    <s v="employed"/>
    <n v="14"/>
    <s v="Platinum"/>
    <s v="Phoenix"/>
    <s v="Late"/>
    <s v="Missed"/>
    <s v="Late"/>
    <s v="Missed"/>
    <s v="Missed"/>
    <s v="On-time"/>
  </r>
  <r>
    <x v="387"/>
    <n v="68"/>
    <n v="53304"/>
    <n v="469"/>
    <n v="0.36215418595662802"/>
    <x v="3"/>
    <x v="0"/>
    <n v="31674"/>
    <n v="0.41059049859172703"/>
    <s v="retired"/>
    <n v="3"/>
    <s v="Student"/>
    <s v="Los Angeles"/>
    <s v="Missed"/>
    <s v="Late"/>
    <s v="On-time"/>
    <s v="Late"/>
    <s v="On-time"/>
    <s v="Missed"/>
  </r>
  <r>
    <x v="388"/>
    <n v="71"/>
    <n v="173427"/>
    <n v="550"/>
    <n v="0.43950663235852899"/>
    <x v="1"/>
    <x v="0"/>
    <n v="3081"/>
    <n v="0.522601888576669"/>
    <s v="employed"/>
    <n v="12"/>
    <s v="Student"/>
    <s v="Phoenix"/>
    <s v="Missed"/>
    <s v="On-time"/>
    <s v="Missed"/>
    <s v="Late"/>
    <s v="Missed"/>
    <s v="Missed"/>
  </r>
  <r>
    <x v="389"/>
    <n v="25"/>
    <n v="140917"/>
    <n v="725"/>
    <n v="0.33700720308691101"/>
    <x v="4"/>
    <x v="1"/>
    <n v="16454"/>
    <n v="0.30109244855735501"/>
    <s v="employed"/>
    <n v="4"/>
    <s v="Student"/>
    <s v="Chicago"/>
    <s v="On-time"/>
    <s v="Missed"/>
    <s v="Late"/>
    <s v="Missed"/>
    <s v="Missed"/>
    <s v="Missed"/>
  </r>
  <r>
    <x v="390"/>
    <n v="44"/>
    <n v="96317"/>
    <n v="685"/>
    <n v="7.3373392985897901E-2"/>
    <x v="0"/>
    <x v="0"/>
    <n v="63375"/>
    <n v="0.29434701166203098"/>
    <s v="Self-employed"/>
    <n v="1"/>
    <s v="Platinum"/>
    <s v="New York"/>
    <s v="Late"/>
    <s v="Late"/>
    <s v="Missed"/>
    <s v="Missed"/>
    <s v="On-time"/>
    <s v="Missed"/>
  </r>
  <r>
    <x v="391"/>
    <n v="44"/>
    <n v="93832"/>
    <n v="459"/>
    <n v="0.49269333001627702"/>
    <x v="2"/>
    <x v="0"/>
    <n v="11587"/>
    <n v="0.26172812078414398"/>
    <s v="Unemployed"/>
    <n v="0"/>
    <s v="Standard"/>
    <s v="Chicago"/>
    <s v="Late"/>
    <s v="On-time"/>
    <s v="Late"/>
    <s v="Late"/>
    <s v="Late"/>
    <s v="Missed"/>
  </r>
  <r>
    <x v="392"/>
    <n v="51"/>
    <n v="31896"/>
    <n v="834"/>
    <n v="0.52569034751955002"/>
    <x v="5"/>
    <x v="0"/>
    <n v="49798"/>
    <n v="0.23417097587407701"/>
    <s v="Self-employed"/>
    <n v="15"/>
    <s v="Gold"/>
    <s v="Houston"/>
    <s v="Late"/>
    <s v="Missed"/>
    <s v="On-time"/>
    <s v="On-time"/>
    <s v="Missed"/>
    <s v="Late"/>
  </r>
  <r>
    <x v="393"/>
    <n v="38"/>
    <m/>
    <n v="622"/>
    <n v="0.71317219975232704"/>
    <x v="4"/>
    <x v="0"/>
    <n v="44454"/>
    <n v="0.260757044554218"/>
    <s v="Unemployed"/>
    <n v="5"/>
    <s v="Standard"/>
    <s v="Houston"/>
    <s v="On-time"/>
    <s v="Missed"/>
    <s v="Late"/>
    <s v="On-time"/>
    <s v="Missed"/>
    <s v="On-time"/>
  </r>
  <r>
    <x v="394"/>
    <n v="47"/>
    <n v="70284"/>
    <n v="528"/>
    <n v="0.65908765053385698"/>
    <x v="0"/>
    <x v="0"/>
    <n v="30575"/>
    <n v="0.32174633323240198"/>
    <s v="retired"/>
    <n v="15"/>
    <s v="Gold"/>
    <s v="Phoenix"/>
    <s v="On-time"/>
    <s v="Late"/>
    <s v="On-time"/>
    <s v="On-time"/>
    <s v="Missed"/>
    <s v="Missed"/>
  </r>
  <r>
    <x v="395"/>
    <n v="50"/>
    <n v="72043"/>
    <n v="308"/>
    <n v="0.66179057980779898"/>
    <x v="5"/>
    <x v="0"/>
    <m/>
    <n v="0.215609921308789"/>
    <s v="employed"/>
    <n v="13"/>
    <s v="Student"/>
    <s v="Phoenix"/>
    <s v="On-time"/>
    <s v="On-time"/>
    <s v="On-time"/>
    <s v="Missed"/>
    <s v="Missed"/>
    <s v="Late"/>
  </r>
  <r>
    <x v="396"/>
    <n v="45"/>
    <n v="183152"/>
    <n v="656"/>
    <n v="0.30519275537642399"/>
    <x v="5"/>
    <x v="0"/>
    <n v="24835"/>
    <n v="0.13307106531260099"/>
    <s v="retired"/>
    <n v="2"/>
    <s v="Standard"/>
    <s v="Los Angeles"/>
    <s v="On-time"/>
    <s v="Late"/>
    <s v="On-time"/>
    <s v="Missed"/>
    <s v="On-time"/>
    <s v="Late"/>
  </r>
  <r>
    <x v="397"/>
    <n v="64"/>
    <n v="170576"/>
    <n v="337"/>
    <n v="0.59189946121413795"/>
    <x v="2"/>
    <x v="0"/>
    <n v="19733"/>
    <n v="0.31598766340141698"/>
    <s v="EMP"/>
    <n v="14"/>
    <s v="Student"/>
    <s v="Los Angeles"/>
    <s v="Late"/>
    <s v="Missed"/>
    <s v="Missed"/>
    <s v="Late"/>
    <s v="On-time"/>
    <s v="Missed"/>
  </r>
  <r>
    <x v="398"/>
    <n v="50"/>
    <n v="198401"/>
    <n v="523"/>
    <n v="0.81651879309631803"/>
    <x v="2"/>
    <x v="0"/>
    <n v="52217"/>
    <n v="0.21338044013065599"/>
    <s v="retired"/>
    <n v="2"/>
    <s v="Business"/>
    <s v="Houston"/>
    <s v="Late"/>
    <s v="Missed"/>
    <s v="Missed"/>
    <s v="Missed"/>
    <s v="Late"/>
    <s v="On-time"/>
  </r>
  <r>
    <x v="399"/>
    <n v="22"/>
    <n v="86726"/>
    <n v="584"/>
    <n v="0.57597357014181605"/>
    <x v="5"/>
    <x v="0"/>
    <n v="60278"/>
    <n v="0.1"/>
    <s v="retired"/>
    <n v="1"/>
    <s v="Student"/>
    <s v="New York"/>
    <s v="On-time"/>
    <s v="Late"/>
    <s v="On-time"/>
    <s v="Late"/>
    <s v="Missed"/>
    <s v="On-time"/>
  </r>
  <r>
    <x v="400"/>
    <n v="65"/>
    <n v="180421"/>
    <n v="762"/>
    <n v="0.86571872261299898"/>
    <x v="6"/>
    <x v="0"/>
    <n v="91557"/>
    <n v="0.35525673906570099"/>
    <s v="EMP"/>
    <n v="0"/>
    <s v="Student"/>
    <s v="Chicago"/>
    <s v="Missed"/>
    <s v="Missed"/>
    <s v="On-time"/>
    <s v="On-time"/>
    <s v="Missed"/>
    <s v="Late"/>
  </r>
  <r>
    <x v="401"/>
    <n v="36"/>
    <n v="107658"/>
    <n v="306"/>
    <n v="0.90379322222397196"/>
    <x v="5"/>
    <x v="0"/>
    <n v="55345"/>
    <n v="0.189194096188297"/>
    <s v="Unemployed"/>
    <n v="8"/>
    <s v="Gold"/>
    <s v="Los Angeles"/>
    <s v="On-time"/>
    <s v="Missed"/>
    <s v="Missed"/>
    <s v="On-time"/>
    <s v="Late"/>
    <s v="Late"/>
  </r>
  <r>
    <x v="402"/>
    <n v="21"/>
    <n v="57318"/>
    <n v="770"/>
    <n v="0.44630634594167001"/>
    <x v="4"/>
    <x v="1"/>
    <n v="3091"/>
    <n v="0.36617894546907298"/>
    <s v="EMP"/>
    <n v="8"/>
    <s v="Business"/>
    <s v="Los Angeles"/>
    <s v="On-time"/>
    <s v="On-time"/>
    <s v="On-time"/>
    <s v="Late"/>
    <s v="Late"/>
    <s v="On-time"/>
  </r>
  <r>
    <x v="403"/>
    <n v="52"/>
    <n v="38524"/>
    <n v="563"/>
    <n v="0.36061205098388499"/>
    <x v="5"/>
    <x v="0"/>
    <n v="32207"/>
    <n v="0.36378481065159801"/>
    <s v="employed"/>
    <n v="6"/>
    <s v="Student"/>
    <s v="New York"/>
    <s v="On-time"/>
    <s v="On-time"/>
    <s v="Missed"/>
    <s v="On-time"/>
    <s v="Late"/>
    <s v="Missed"/>
  </r>
  <r>
    <x v="404"/>
    <n v="66"/>
    <n v="161377"/>
    <n v="380"/>
    <n v="0.34770756691620902"/>
    <x v="3"/>
    <x v="0"/>
    <n v="98999"/>
    <n v="0.328359001152283"/>
    <s v="retired"/>
    <n v="2"/>
    <s v="Student"/>
    <s v="New York"/>
    <s v="Late"/>
    <s v="On-time"/>
    <s v="On-time"/>
    <s v="On-time"/>
    <s v="Missed"/>
    <s v="Missed"/>
  </r>
  <r>
    <x v="405"/>
    <n v="34"/>
    <n v="119573"/>
    <n v="360"/>
    <n v="0.19677283597935499"/>
    <x v="1"/>
    <x v="0"/>
    <n v="90739"/>
    <n v="0.54968178403564905"/>
    <s v="EMP"/>
    <n v="17"/>
    <s v="Business"/>
    <s v="Phoenix"/>
    <s v="Missed"/>
    <s v="Late"/>
    <s v="Late"/>
    <s v="Late"/>
    <s v="Missed"/>
    <s v="Late"/>
  </r>
  <r>
    <x v="406"/>
    <n v="61"/>
    <n v="167617"/>
    <n v="638"/>
    <n v="0.39631942011689503"/>
    <x v="3"/>
    <x v="0"/>
    <n v="85780"/>
    <n v="0.286194815002762"/>
    <s v="retired"/>
    <n v="10"/>
    <s v="Business"/>
    <s v="Chicago"/>
    <s v="Missed"/>
    <s v="On-time"/>
    <s v="Missed"/>
    <s v="On-time"/>
    <s v="On-time"/>
    <s v="Late"/>
  </r>
  <r>
    <x v="407"/>
    <n v="45"/>
    <m/>
    <n v="627"/>
    <n v="0.741533089951249"/>
    <x v="3"/>
    <x v="0"/>
    <n v="44303"/>
    <n v="0.27143604325014098"/>
    <s v="employed"/>
    <n v="6"/>
    <s v="Standard"/>
    <s v="New York"/>
    <s v="On-time"/>
    <s v="Missed"/>
    <s v="On-time"/>
    <s v="Late"/>
    <s v="Missed"/>
    <s v="Missed"/>
  </r>
  <r>
    <x v="408"/>
    <n v="47"/>
    <n v="71570"/>
    <n v="341"/>
    <n v="5.9192484949751899E-2"/>
    <x v="6"/>
    <x v="0"/>
    <n v="39582"/>
    <n v="0.36836724214169098"/>
    <s v="Self-employed"/>
    <n v="8"/>
    <s v="Gold"/>
    <s v="Los Angeles"/>
    <s v="On-time"/>
    <s v="Late"/>
    <s v="Late"/>
    <s v="Late"/>
    <s v="On-time"/>
    <s v="Late"/>
  </r>
  <r>
    <x v="409"/>
    <n v="46"/>
    <n v="165580"/>
    <n v="734"/>
    <n v="0.29250931985724998"/>
    <x v="6"/>
    <x v="0"/>
    <n v="1217"/>
    <n v="0.29445526378862003"/>
    <s v="employed"/>
    <n v="0"/>
    <s v="Business"/>
    <s v="Los Angeles"/>
    <s v="On-time"/>
    <s v="Late"/>
    <s v="Missed"/>
    <s v="On-time"/>
    <s v="Missed"/>
    <s v="On-time"/>
  </r>
  <r>
    <x v="410"/>
    <n v="63"/>
    <n v="154487"/>
    <n v="595"/>
    <n v="0.4745737116696"/>
    <x v="5"/>
    <x v="0"/>
    <n v="89616"/>
    <n v="0.4160493537394"/>
    <s v="employed"/>
    <n v="13"/>
    <s v="Business"/>
    <s v="Houston"/>
    <s v="On-time"/>
    <s v="Missed"/>
    <s v="Missed"/>
    <s v="Missed"/>
    <s v="Late"/>
    <s v="Missed"/>
  </r>
  <r>
    <x v="411"/>
    <n v="70"/>
    <n v="130359"/>
    <n v="835"/>
    <n v="0.32456295987565997"/>
    <x v="3"/>
    <x v="0"/>
    <n v="47906"/>
    <n v="0.17311940924244701"/>
    <s v="employed"/>
    <n v="19"/>
    <s v="Platinum"/>
    <s v="New York"/>
    <s v="Missed"/>
    <s v="On-time"/>
    <s v="Late"/>
    <s v="Late"/>
    <s v="Late"/>
    <s v="Missed"/>
  </r>
  <r>
    <x v="412"/>
    <n v="23"/>
    <n v="58919"/>
    <n v="784"/>
    <n v="0.394542811151955"/>
    <x v="6"/>
    <x v="0"/>
    <m/>
    <n v="0.17478255525356501"/>
    <s v="employed"/>
    <n v="5"/>
    <s v="Business"/>
    <s v="Phoenix"/>
    <s v="Missed"/>
    <s v="On-time"/>
    <s v="Late"/>
    <s v="Missed"/>
    <s v="On-time"/>
    <s v="Late"/>
  </r>
  <r>
    <x v="413"/>
    <n v="52"/>
    <n v="109074"/>
    <n v="401"/>
    <n v="0.39753406511553901"/>
    <x v="2"/>
    <x v="0"/>
    <n v="61210"/>
    <n v="0.37658094913262102"/>
    <s v="retired"/>
    <n v="6"/>
    <s v="Gold"/>
    <s v="Chicago"/>
    <s v="Late"/>
    <s v="Missed"/>
    <s v="On-time"/>
    <s v="On-time"/>
    <s v="Missed"/>
    <s v="Missed"/>
  </r>
  <r>
    <x v="414"/>
    <n v="58"/>
    <n v="152326"/>
    <n v="474"/>
    <n v="0.44849195598765002"/>
    <x v="5"/>
    <x v="1"/>
    <n v="5626"/>
    <n v="0.18351890606613899"/>
    <s v="Unemployed"/>
    <n v="9"/>
    <s v="Student"/>
    <s v="Phoenix"/>
    <s v="On-time"/>
    <s v="Missed"/>
    <s v="Late"/>
    <s v="Missed"/>
    <s v="On-time"/>
    <s v="Late"/>
  </r>
  <r>
    <x v="415"/>
    <n v="54"/>
    <n v="40934"/>
    <n v="694"/>
    <n v="0.35410906077805199"/>
    <x v="4"/>
    <x v="0"/>
    <n v="62561"/>
    <n v="0.360909860644271"/>
    <s v="Unemployed"/>
    <n v="6"/>
    <s v="Student"/>
    <s v="Los Angeles"/>
    <s v="Missed"/>
    <s v="Late"/>
    <s v="Late"/>
    <s v="On-time"/>
    <s v="Missed"/>
    <s v="Late"/>
  </r>
  <r>
    <x v="416"/>
    <n v="41"/>
    <n v="126888"/>
    <n v="793"/>
    <n v="0.33775735722889"/>
    <x v="1"/>
    <x v="0"/>
    <n v="63412"/>
    <n v="0.33700028462103598"/>
    <s v="Unemployed"/>
    <n v="1"/>
    <s v="Student"/>
    <s v="Phoenix"/>
    <s v="Late"/>
    <s v="On-time"/>
    <s v="On-time"/>
    <s v="Late"/>
    <s v="Missed"/>
    <s v="Late"/>
  </r>
  <r>
    <x v="417"/>
    <n v="46"/>
    <n v="73243"/>
    <n v="595"/>
    <n v="0.68686194918424603"/>
    <x v="0"/>
    <x v="0"/>
    <n v="62253"/>
    <n v="0.230551171397233"/>
    <s v="retired"/>
    <n v="3"/>
    <s v="Student"/>
    <s v="Los Angeles"/>
    <s v="Late"/>
    <s v="Late"/>
    <s v="Late"/>
    <s v="On-time"/>
    <s v="On-time"/>
    <s v="Late"/>
  </r>
  <r>
    <x v="418"/>
    <n v="66"/>
    <m/>
    <n v="452"/>
    <n v="0.70993083557206904"/>
    <x v="5"/>
    <x v="0"/>
    <n v="46333"/>
    <n v="0.33671701602334297"/>
    <s v="employed"/>
    <n v="16"/>
    <s v="Platinum"/>
    <s v="Los Angeles"/>
    <s v="Late"/>
    <s v="Late"/>
    <s v="Late"/>
    <s v="Late"/>
    <s v="On-time"/>
    <s v="On-time"/>
  </r>
  <r>
    <x v="419"/>
    <n v="63"/>
    <n v="65990"/>
    <n v="766"/>
    <n v="0.223891330950518"/>
    <x v="0"/>
    <x v="0"/>
    <n v="62253"/>
    <n v="0.17654075542157599"/>
    <s v="Unemployed"/>
    <n v="0"/>
    <s v="Business"/>
    <s v="Los Angeles"/>
    <s v="Late"/>
    <s v="Late"/>
    <s v="Late"/>
    <s v="On-time"/>
    <s v="On-time"/>
    <s v="Missed"/>
  </r>
  <r>
    <x v="420"/>
    <n v="70"/>
    <n v="180983"/>
    <n v="711"/>
    <n v="0.05"/>
    <x v="3"/>
    <x v="0"/>
    <n v="73733"/>
    <n v="0.20001000737362901"/>
    <s v="Self-employed"/>
    <n v="9"/>
    <s v="Student"/>
    <s v="Los Angeles"/>
    <s v="Missed"/>
    <s v="Missed"/>
    <s v="Late"/>
    <s v="Missed"/>
    <s v="On-time"/>
    <s v="Missed"/>
  </r>
  <r>
    <x v="421"/>
    <n v="48"/>
    <n v="196415"/>
    <n v="415"/>
    <n v="0.712674969914186"/>
    <x v="1"/>
    <x v="0"/>
    <n v="95276"/>
    <n v="0.27628122615879303"/>
    <s v="employed"/>
    <n v="18"/>
    <s v="Standard"/>
    <s v="Los Angeles"/>
    <s v="On-time"/>
    <s v="Late"/>
    <s v="Late"/>
    <s v="On-time"/>
    <s v="Missed"/>
    <s v="Missed"/>
  </r>
  <r>
    <x v="422"/>
    <n v="52"/>
    <n v="179506"/>
    <n v="398"/>
    <n v="0.25423991628957199"/>
    <x v="0"/>
    <x v="0"/>
    <n v="59691"/>
    <n v="0.30789278190722202"/>
    <s v="employed"/>
    <n v="14"/>
    <s v="Student"/>
    <s v="Houston"/>
    <s v="On-time"/>
    <s v="Late"/>
    <s v="Missed"/>
    <s v="On-time"/>
    <s v="On-time"/>
    <s v="Missed"/>
  </r>
  <r>
    <x v="423"/>
    <n v="50"/>
    <n v="71570"/>
    <n v="634"/>
    <n v="0.54254896769194705"/>
    <x v="3"/>
    <x v="1"/>
    <n v="36820"/>
    <n v="0.26963614630121402"/>
    <s v="employed"/>
    <n v="9"/>
    <s v="Business"/>
    <s v="Phoenix"/>
    <s v="Missed"/>
    <s v="Late"/>
    <s v="Missed"/>
    <s v="On-time"/>
    <s v="Late"/>
    <s v="Late"/>
  </r>
  <r>
    <x v="424"/>
    <n v="69"/>
    <n v="104588"/>
    <n v="811"/>
    <n v="0.186865625394356"/>
    <x v="2"/>
    <x v="0"/>
    <n v="65548"/>
    <n v="0.34331159638731101"/>
    <s v="Unemployed"/>
    <n v="18"/>
    <s v="Student"/>
    <s v="Houston"/>
    <s v="Missed"/>
    <s v="On-time"/>
    <s v="Missed"/>
    <s v="Missed"/>
    <s v="Missed"/>
    <s v="Late"/>
  </r>
  <r>
    <x v="425"/>
    <n v="38"/>
    <n v="146800"/>
    <n v="500"/>
    <n v="0.75955099705193396"/>
    <x v="0"/>
    <x v="0"/>
    <n v="29584"/>
    <n v="0.33884664150482902"/>
    <s v="employed"/>
    <n v="11"/>
    <s v="Platinum"/>
    <s v="Houston"/>
    <s v="Late"/>
    <s v="On-time"/>
    <s v="Missed"/>
    <s v="Missed"/>
    <s v="Late"/>
    <s v="Late"/>
  </r>
  <r>
    <x v="426"/>
    <n v="49"/>
    <n v="163216"/>
    <n v="768"/>
    <n v="1.0087335790603"/>
    <x v="1"/>
    <x v="0"/>
    <n v="60530"/>
    <n v="0.45293668083481398"/>
    <s v="EMP"/>
    <n v="15"/>
    <s v="Gold"/>
    <s v="New York"/>
    <s v="Late"/>
    <s v="On-time"/>
    <s v="Missed"/>
    <s v="Late"/>
    <s v="Late"/>
    <s v="Missed"/>
  </r>
  <r>
    <x v="427"/>
    <n v="40"/>
    <n v="193677"/>
    <n v="320"/>
    <n v="0.53656138184106705"/>
    <x v="5"/>
    <x v="0"/>
    <n v="36913"/>
    <n v="0.290471465285499"/>
    <s v="Self-employed"/>
    <n v="8"/>
    <s v="Gold"/>
    <s v="New York"/>
    <s v="Missed"/>
    <s v="On-time"/>
    <s v="Missed"/>
    <s v="On-time"/>
    <s v="Late"/>
    <s v="Missed"/>
  </r>
  <r>
    <x v="428"/>
    <n v="50"/>
    <n v="38049"/>
    <n v="673"/>
    <n v="0.48117947030809599"/>
    <x v="3"/>
    <x v="0"/>
    <n v="62342"/>
    <n v="0.41945634311841201"/>
    <s v="Unemployed"/>
    <n v="14"/>
    <s v="Business"/>
    <s v="New York"/>
    <s v="On-time"/>
    <s v="Missed"/>
    <s v="On-time"/>
    <s v="Late"/>
    <s v="Late"/>
    <s v="On-time"/>
  </r>
  <r>
    <x v="429"/>
    <n v="20"/>
    <n v="129821"/>
    <n v="536"/>
    <n v="0.43557208496198702"/>
    <x v="5"/>
    <x v="1"/>
    <n v="49798"/>
    <n v="0.392072551289389"/>
    <s v="Unemployed"/>
    <n v="16"/>
    <s v="Gold"/>
    <s v="Chicago"/>
    <s v="Missed"/>
    <s v="On-time"/>
    <s v="Missed"/>
    <s v="Late"/>
    <s v="Late"/>
    <s v="On-time"/>
  </r>
  <r>
    <x v="430"/>
    <n v="35"/>
    <n v="115235"/>
    <n v="691"/>
    <n v="0.65635986226258203"/>
    <x v="1"/>
    <x v="0"/>
    <n v="95276"/>
    <n v="0.52939772832931398"/>
    <s v="Self-employed"/>
    <n v="13"/>
    <s v="Gold"/>
    <s v="New York"/>
    <s v="Missed"/>
    <s v="On-time"/>
    <s v="Late"/>
    <s v="On-time"/>
    <s v="Late"/>
    <s v="Missed"/>
  </r>
  <r>
    <x v="431"/>
    <n v="42"/>
    <n v="108610"/>
    <n v="467"/>
    <n v="0.61353735018691702"/>
    <x v="6"/>
    <x v="0"/>
    <n v="55812"/>
    <n v="0.287274198009772"/>
    <s v="Self-employed"/>
    <n v="17"/>
    <s v="Standard"/>
    <s v="Phoenix"/>
    <s v="On-time"/>
    <s v="Late"/>
    <s v="Missed"/>
    <s v="On-time"/>
    <s v="Late"/>
    <s v="Missed"/>
  </r>
  <r>
    <x v="432"/>
    <n v="59"/>
    <n v="31364"/>
    <n v="739"/>
    <n v="0.70069969071057203"/>
    <x v="3"/>
    <x v="0"/>
    <n v="24851"/>
    <n v="0.25796412785470102"/>
    <s v="EMP"/>
    <n v="1"/>
    <s v="Business"/>
    <s v="Houston"/>
    <s v="On-time"/>
    <s v="Late"/>
    <s v="On-time"/>
    <s v="Missed"/>
    <s v="On-time"/>
    <s v="Missed"/>
  </r>
  <r>
    <x v="433"/>
    <n v="48"/>
    <n v="184160"/>
    <n v="572"/>
    <n v="0.37441669548038298"/>
    <x v="0"/>
    <x v="0"/>
    <n v="78289"/>
    <n v="0.42576942222437297"/>
    <s v="Unemployed"/>
    <n v="3"/>
    <s v="Business"/>
    <s v="Phoenix"/>
    <s v="Late"/>
    <s v="Late"/>
    <s v="Late"/>
    <s v="Late"/>
    <s v="Missed"/>
    <s v="Late"/>
  </r>
  <r>
    <x v="434"/>
    <n v="71"/>
    <n v="59238"/>
    <n v="401"/>
    <n v="0.56802354128092902"/>
    <x v="3"/>
    <x v="0"/>
    <n v="20052"/>
    <n v="0.33854325717412598"/>
    <s v="retired"/>
    <n v="17"/>
    <s v="Gold"/>
    <s v="New York"/>
    <s v="Missed"/>
    <s v="On-time"/>
    <s v="Missed"/>
    <s v="Missed"/>
    <s v="Missed"/>
    <s v="On-time"/>
  </r>
  <r>
    <x v="435"/>
    <n v="20"/>
    <n v="68682"/>
    <n v="339"/>
    <n v="0.39150638665875998"/>
    <x v="5"/>
    <x v="0"/>
    <n v="88778"/>
    <n v="0.42816592167838902"/>
    <s v="Unemployed"/>
    <n v="6"/>
    <s v="Gold"/>
    <s v="Chicago"/>
    <s v="Late"/>
    <s v="Missed"/>
    <s v="Late"/>
    <s v="On-time"/>
    <s v="On-time"/>
    <s v="Late"/>
  </r>
  <r>
    <x v="436"/>
    <n v="57"/>
    <n v="28807"/>
    <n v="794"/>
    <n v="0.28845687038598899"/>
    <x v="2"/>
    <x v="0"/>
    <n v="95136"/>
    <n v="0.37167987979895001"/>
    <s v="employed"/>
    <n v="12"/>
    <s v="Gold"/>
    <s v="Chicago"/>
    <s v="Missed"/>
    <s v="Late"/>
    <s v="On-time"/>
    <s v="Missed"/>
    <s v="Late"/>
    <s v="Missed"/>
  </r>
  <r>
    <x v="437"/>
    <n v="63"/>
    <m/>
    <n v="799"/>
    <n v="0.49179691579930701"/>
    <x v="3"/>
    <x v="0"/>
    <n v="41743"/>
    <n v="0.1"/>
    <s v="employed"/>
    <n v="14"/>
    <s v="Platinum"/>
    <s v="Houston"/>
    <s v="Missed"/>
    <s v="On-time"/>
    <s v="Late"/>
    <s v="On-time"/>
    <s v="Late"/>
    <s v="On-time"/>
  </r>
  <r>
    <x v="438"/>
    <n v="41"/>
    <n v="20569"/>
    <n v="427"/>
    <n v="0.315497453924583"/>
    <x v="0"/>
    <x v="0"/>
    <n v="87110"/>
    <n v="0.33763217770311799"/>
    <s v="employed"/>
    <n v="0"/>
    <s v="Student"/>
    <s v="Phoenix"/>
    <s v="Late"/>
    <s v="On-time"/>
    <s v="On-time"/>
    <s v="Late"/>
    <s v="On-time"/>
    <s v="On-time"/>
  </r>
  <r>
    <x v="439"/>
    <n v="67"/>
    <n v="25916"/>
    <n v="762"/>
    <n v="0.73474539954851703"/>
    <x v="6"/>
    <x v="0"/>
    <m/>
    <n v="0.331121589795148"/>
    <s v="employed"/>
    <n v="10"/>
    <s v="Platinum"/>
    <s v="Los Angeles"/>
    <s v="Missed"/>
    <s v="Missed"/>
    <s v="Late"/>
    <s v="On-time"/>
    <s v="Missed"/>
    <s v="Late"/>
  </r>
  <r>
    <x v="440"/>
    <n v="49"/>
    <n v="127566"/>
    <n v="328"/>
    <n v="0.32761592439683501"/>
    <x v="4"/>
    <x v="0"/>
    <n v="82438"/>
    <n v="0.31331069024639602"/>
    <s v="employed"/>
    <n v="9"/>
    <s v="Business"/>
    <s v="Phoenix"/>
    <s v="Missed"/>
    <s v="Missed"/>
    <s v="Missed"/>
    <s v="Missed"/>
    <s v="Missed"/>
    <s v="Missed"/>
  </r>
  <r>
    <x v="441"/>
    <n v="64"/>
    <n v="33888"/>
    <n v="398"/>
    <n v="0.57270918813747196"/>
    <x v="2"/>
    <x v="0"/>
    <n v="1806"/>
    <n v="0.286775694587661"/>
    <s v="Self-employed"/>
    <n v="4"/>
    <s v="Standard"/>
    <s v="New York"/>
    <s v="Missed"/>
    <s v="Late"/>
    <s v="Late"/>
    <s v="On-time"/>
    <s v="On-time"/>
    <s v="Missed"/>
  </r>
  <r>
    <x v="442"/>
    <n v="39"/>
    <n v="152162"/>
    <n v="446"/>
    <n v="0.37931554024805503"/>
    <x v="6"/>
    <x v="0"/>
    <n v="4106"/>
    <n v="0.140785647220567"/>
    <s v="employed"/>
    <n v="15"/>
    <s v="Student"/>
    <s v="Los Angeles"/>
    <s v="On-time"/>
    <s v="Late"/>
    <s v="On-time"/>
    <s v="On-time"/>
    <s v="On-time"/>
    <s v="On-time"/>
  </r>
  <r>
    <x v="443"/>
    <n v="40"/>
    <n v="170026"/>
    <n v="788"/>
    <n v="0.55541255008750201"/>
    <x v="3"/>
    <x v="0"/>
    <n v="95376"/>
    <n v="0.387417691723832"/>
    <s v="employed"/>
    <n v="10"/>
    <s v="Standard"/>
    <s v="Chicago"/>
    <s v="On-time"/>
    <s v="Missed"/>
    <s v="On-time"/>
    <s v="Late"/>
    <s v="On-time"/>
    <s v="On-time"/>
  </r>
  <r>
    <x v="444"/>
    <n v="19"/>
    <n v="51187"/>
    <n v="549"/>
    <n v="0.39520068530892799"/>
    <x v="5"/>
    <x v="0"/>
    <n v="65387"/>
    <n v="0.33737684280934899"/>
    <s v="employed"/>
    <n v="5"/>
    <s v="Business"/>
    <s v="Houston"/>
    <s v="Missed"/>
    <s v="Late"/>
    <s v="Late"/>
    <s v="On-time"/>
    <s v="Missed"/>
    <s v="Missed"/>
  </r>
  <r>
    <x v="445"/>
    <n v="44"/>
    <n v="108396"/>
    <n v="378"/>
    <n v="0.24855774502849201"/>
    <x v="1"/>
    <x v="1"/>
    <n v="85678"/>
    <n v="0.41019566973974197"/>
    <s v="EMP"/>
    <n v="8"/>
    <s v="Business"/>
    <s v="Houston"/>
    <s v="On-time"/>
    <s v="Late"/>
    <s v="On-time"/>
    <s v="Late"/>
    <s v="Missed"/>
    <s v="On-time"/>
  </r>
  <r>
    <x v="446"/>
    <n v="59"/>
    <n v="16062"/>
    <n v="690"/>
    <n v="0.59675454819036899"/>
    <x v="5"/>
    <x v="0"/>
    <n v="73117"/>
    <n v="0.146124447572474"/>
    <s v="employed"/>
    <n v="12"/>
    <s v="Standard"/>
    <s v="Chicago"/>
    <s v="Missed"/>
    <s v="On-time"/>
    <s v="On-time"/>
    <s v="Missed"/>
    <s v="Missed"/>
    <s v="On-time"/>
  </r>
  <r>
    <x v="447"/>
    <n v="19"/>
    <n v="167617"/>
    <n v="700"/>
    <n v="0.452916875617355"/>
    <x v="0"/>
    <x v="0"/>
    <n v="52256"/>
    <n v="0.350713448954526"/>
    <s v="retired"/>
    <n v="7"/>
    <s v="Standard"/>
    <s v="New York"/>
    <s v="Missed"/>
    <s v="Missed"/>
    <s v="Late"/>
    <s v="On-time"/>
    <s v="Missed"/>
    <s v="Missed"/>
  </r>
  <r>
    <x v="448"/>
    <n v="43"/>
    <n v="187627"/>
    <n v="584"/>
    <n v="0.55719698814449103"/>
    <x v="5"/>
    <x v="0"/>
    <n v="10778"/>
    <n v="0.27653406624534299"/>
    <s v="employed"/>
    <n v="13"/>
    <s v="Standard"/>
    <s v="Chicago"/>
    <s v="On-time"/>
    <s v="On-time"/>
    <s v="Missed"/>
    <s v="Missed"/>
    <s v="Missed"/>
    <s v="On-time"/>
  </r>
  <r>
    <x v="449"/>
    <n v="34"/>
    <n v="115235"/>
    <n v="781"/>
    <n v="0.41423141287391202"/>
    <x v="2"/>
    <x v="0"/>
    <n v="62010"/>
    <n v="0.314378800992552"/>
    <s v="EMP"/>
    <n v="0"/>
    <s v="Business"/>
    <s v="New York"/>
    <s v="Missed"/>
    <s v="Late"/>
    <s v="On-time"/>
    <s v="On-time"/>
    <s v="Late"/>
    <s v="Missed"/>
  </r>
  <r>
    <x v="450"/>
    <n v="57"/>
    <m/>
    <n v="528"/>
    <n v="0.234412697246309"/>
    <x v="5"/>
    <x v="0"/>
    <n v="29845"/>
    <n v="0.27768403658190999"/>
    <s v="employed"/>
    <n v="16"/>
    <s v="Gold"/>
    <s v="Los Angeles"/>
    <s v="On-time"/>
    <s v="Late"/>
    <s v="On-time"/>
    <s v="On-time"/>
    <s v="On-time"/>
    <s v="Missed"/>
  </r>
  <r>
    <x v="451"/>
    <n v="50"/>
    <n v="99076"/>
    <n v="332"/>
    <n v="0.71663571941125104"/>
    <x v="0"/>
    <x v="0"/>
    <n v="62010"/>
    <n v="0.35436079274801202"/>
    <s v="EMP"/>
    <n v="4"/>
    <s v="Standard"/>
    <s v="Chicago"/>
    <s v="On-time"/>
    <s v="Missed"/>
    <s v="Missed"/>
    <s v="On-time"/>
    <s v="Missed"/>
    <s v="Missed"/>
  </r>
  <r>
    <x v="452"/>
    <n v="26"/>
    <n v="190333"/>
    <n v="462"/>
    <n v="0.64735155108821696"/>
    <x v="4"/>
    <x v="1"/>
    <n v="29416"/>
    <n v="0.28371268790084198"/>
    <s v="employed"/>
    <n v="1"/>
    <s v="Student"/>
    <s v="New York"/>
    <s v="Late"/>
    <s v="Late"/>
    <s v="Missed"/>
    <s v="Missed"/>
    <s v="Late"/>
    <s v="Missed"/>
  </r>
  <r>
    <x v="453"/>
    <n v="60"/>
    <n v="65612"/>
    <n v="588"/>
    <n v="0.38660780488935098"/>
    <x v="3"/>
    <x v="0"/>
    <m/>
    <n v="0.19480850749443099"/>
    <s v="Self-employed"/>
    <n v="8"/>
    <s v="Business"/>
    <s v="Los Angeles"/>
    <s v="Missed"/>
    <s v="Missed"/>
    <s v="On-time"/>
    <s v="Late"/>
    <s v="On-time"/>
    <s v="Missed"/>
  </r>
  <r>
    <x v="454"/>
    <n v="71"/>
    <n v="162851"/>
    <n v="622"/>
    <n v="0.51395584269975902"/>
    <x v="1"/>
    <x v="0"/>
    <n v="77743"/>
    <n v="0.308642541878619"/>
    <s v="employed"/>
    <n v="3"/>
    <s v="Platinum"/>
    <s v="Chicago"/>
    <s v="On-time"/>
    <s v="Missed"/>
    <s v="Late"/>
    <s v="Late"/>
    <s v="Missed"/>
    <s v="Missed"/>
  </r>
  <r>
    <x v="455"/>
    <n v="65"/>
    <n v="75566"/>
    <n v="338"/>
    <n v="0.70840389663258696"/>
    <x v="3"/>
    <x v="0"/>
    <n v="83236"/>
    <n v="0.27858254628644902"/>
    <s v="Self-employed"/>
    <n v="16"/>
    <s v="Platinum"/>
    <s v="Houston"/>
    <s v="Late"/>
    <s v="Missed"/>
    <s v="Late"/>
    <s v="On-time"/>
    <s v="Late"/>
    <s v="On-time"/>
  </r>
  <r>
    <x v="456"/>
    <n v="56"/>
    <n v="177993"/>
    <n v="739"/>
    <n v="0.40859233282752"/>
    <x v="5"/>
    <x v="0"/>
    <n v="24120"/>
    <n v="0.291660637887111"/>
    <s v="Self-employed"/>
    <n v="16"/>
    <s v="Student"/>
    <s v="Chicago"/>
    <s v="Late"/>
    <s v="Late"/>
    <s v="Missed"/>
    <s v="On-time"/>
    <s v="Late"/>
    <s v="On-time"/>
  </r>
  <r>
    <x v="457"/>
    <n v="46"/>
    <n v="38049"/>
    <n v="758"/>
    <n v="0.439623098961889"/>
    <x v="6"/>
    <x v="0"/>
    <n v="71588"/>
    <n v="0.1"/>
    <s v="employed"/>
    <n v="17"/>
    <s v="Gold"/>
    <s v="Phoenix"/>
    <s v="Late"/>
    <s v="Missed"/>
    <s v="Late"/>
    <s v="Missed"/>
    <s v="Late"/>
    <s v="On-time"/>
  </r>
  <r>
    <x v="458"/>
    <n v="59"/>
    <m/>
    <n v="350"/>
    <n v="0.54872650000147405"/>
    <x v="3"/>
    <x v="0"/>
    <n v="24835"/>
    <n v="0.36826360835687"/>
    <s v="retired"/>
    <n v="15"/>
    <s v="Standard"/>
    <s v="Chicago"/>
    <s v="Missed"/>
    <s v="Late"/>
    <s v="On-time"/>
    <s v="On-time"/>
    <s v="Missed"/>
    <s v="Late"/>
  </r>
  <r>
    <x v="459"/>
    <n v="72"/>
    <n v="125448"/>
    <n v="354"/>
    <n v="0.408181787289082"/>
    <x v="4"/>
    <x v="0"/>
    <m/>
    <n v="0.26853363826532101"/>
    <s v="Unemployed"/>
    <n v="7"/>
    <s v="Business"/>
    <s v="Phoenix"/>
    <s v="Late"/>
    <s v="Late"/>
    <s v="Late"/>
    <s v="Missed"/>
    <s v="Late"/>
    <s v="Missed"/>
  </r>
  <r>
    <x v="460"/>
    <n v="43"/>
    <n v="146800"/>
    <n v="459"/>
    <n v="0.671418399397404"/>
    <x v="5"/>
    <x v="1"/>
    <n v="17913"/>
    <n v="0.165184642598173"/>
    <s v="employed"/>
    <n v="10"/>
    <s v="Standard"/>
    <s v="Los Angeles"/>
    <s v="Missed"/>
    <s v="Missed"/>
    <s v="On-time"/>
    <s v="On-time"/>
    <s v="Late"/>
    <s v="Missed"/>
  </r>
  <r>
    <x v="461"/>
    <n v="52"/>
    <n v="134180"/>
    <n v="757"/>
    <n v="0.46621984393851201"/>
    <x v="1"/>
    <x v="0"/>
    <n v="16693"/>
    <n v="0.39225635168481399"/>
    <s v="employed"/>
    <n v="17"/>
    <s v="Business"/>
    <s v="Chicago"/>
    <s v="Late"/>
    <s v="Missed"/>
    <s v="Late"/>
    <s v="Missed"/>
    <s v="Missed"/>
    <s v="On-time"/>
  </r>
  <r>
    <x v="462"/>
    <n v="67"/>
    <n v="64922"/>
    <n v="658"/>
    <n v="0.34319282500120502"/>
    <x v="0"/>
    <x v="0"/>
    <n v="67397"/>
    <n v="0.36363657277529299"/>
    <s v="retired"/>
    <n v="9"/>
    <s v="Platinum"/>
    <s v="Los Angeles"/>
    <s v="On-time"/>
    <s v="Late"/>
    <s v="Late"/>
    <s v="Missed"/>
    <s v="On-time"/>
    <s v="On-time"/>
  </r>
  <r>
    <x v="463"/>
    <n v="42"/>
    <m/>
    <n v="837"/>
    <n v="0.62172776597479895"/>
    <x v="4"/>
    <x v="0"/>
    <n v="45776"/>
    <n v="0.26726798037251398"/>
    <s v="retired"/>
    <n v="12"/>
    <s v="Standard"/>
    <s v="Los Angeles"/>
    <s v="On-time"/>
    <s v="Missed"/>
    <s v="On-time"/>
    <s v="Late"/>
    <s v="Late"/>
    <s v="Late"/>
  </r>
  <r>
    <x v="464"/>
    <n v="41"/>
    <n v="24435"/>
    <n v="766"/>
    <n v="0.27157387011373002"/>
    <x v="5"/>
    <x v="0"/>
    <n v="60530"/>
    <n v="0.18478306204799799"/>
    <s v="employed"/>
    <n v="16"/>
    <s v="Student"/>
    <s v="New York"/>
    <s v="Missed"/>
    <s v="On-time"/>
    <s v="Missed"/>
    <s v="Missed"/>
    <s v="Missed"/>
    <s v="Late"/>
  </r>
  <r>
    <x v="465"/>
    <n v="30"/>
    <m/>
    <n v="664"/>
    <n v="0.90297571222484196"/>
    <x v="4"/>
    <x v="0"/>
    <m/>
    <n v="0.31780307346793701"/>
    <s v="Unemployed"/>
    <n v="17"/>
    <s v="Gold"/>
    <s v="Los Angeles"/>
    <s v="Missed"/>
    <s v="Missed"/>
    <s v="Missed"/>
    <s v="Late"/>
    <s v="On-time"/>
    <s v="On-time"/>
  </r>
  <r>
    <x v="466"/>
    <n v="24"/>
    <n v="193998"/>
    <n v="700"/>
    <n v="0.81649927271603995"/>
    <x v="3"/>
    <x v="0"/>
    <n v="18952"/>
    <n v="0.31231060845876002"/>
    <s v="retired"/>
    <n v="9"/>
    <s v="Student"/>
    <s v="Los Angeles"/>
    <s v="Missed"/>
    <s v="On-time"/>
    <s v="On-time"/>
    <s v="Late"/>
    <s v="Late"/>
    <s v="Missed"/>
  </r>
  <r>
    <x v="467"/>
    <n v="74"/>
    <n v="164143"/>
    <n v="580"/>
    <n v="0.60269909538420297"/>
    <x v="1"/>
    <x v="0"/>
    <n v="44449"/>
    <n v="0.39243342829917799"/>
    <s v="Self-employed"/>
    <n v="15"/>
    <s v="Gold"/>
    <s v="Chicago"/>
    <s v="Missed"/>
    <s v="Late"/>
    <s v="On-time"/>
    <s v="Missed"/>
    <s v="Missed"/>
    <s v="Late"/>
  </r>
  <r>
    <x v="468"/>
    <n v="53"/>
    <n v="191615"/>
    <n v="796"/>
    <n v="0.58586620436397996"/>
    <x v="0"/>
    <x v="0"/>
    <n v="42551"/>
    <n v="0.25562644851395"/>
    <s v="Unemployed"/>
    <n v="19"/>
    <s v="Standard"/>
    <s v="Chicago"/>
    <s v="Late"/>
    <s v="Late"/>
    <s v="On-time"/>
    <s v="Late"/>
    <s v="Late"/>
    <s v="Late"/>
  </r>
  <r>
    <x v="469"/>
    <n v="62"/>
    <n v="75566"/>
    <n v="845"/>
    <n v="0.57648828356385895"/>
    <x v="5"/>
    <x v="0"/>
    <n v="82482"/>
    <n v="0.41949221348649901"/>
    <s v="employed"/>
    <n v="4"/>
    <s v="Standard"/>
    <s v="Houston"/>
    <s v="Late"/>
    <s v="Late"/>
    <s v="Late"/>
    <s v="Missed"/>
    <s v="Late"/>
    <s v="Missed"/>
  </r>
  <r>
    <x v="470"/>
    <n v="37"/>
    <n v="167424"/>
    <n v="813"/>
    <n v="0.40218104281621803"/>
    <x v="2"/>
    <x v="0"/>
    <n v="33772"/>
    <n v="0.24597469966642299"/>
    <s v="Unemployed"/>
    <n v="12"/>
    <s v="Gold"/>
    <s v="New York"/>
    <s v="On-time"/>
    <s v="On-time"/>
    <s v="Missed"/>
    <s v="Late"/>
    <s v="Missed"/>
    <s v="On-time"/>
  </r>
  <r>
    <x v="471"/>
    <n v="18"/>
    <n v="53513"/>
    <n v="617"/>
    <n v="0.55946192913616799"/>
    <x v="0"/>
    <x v="0"/>
    <n v="43870"/>
    <n v="0.16541682154575699"/>
    <s v="employed"/>
    <n v="17"/>
    <s v="Platinum"/>
    <s v="Los Angeles"/>
    <s v="Late"/>
    <s v="On-time"/>
    <s v="On-time"/>
    <s v="Missed"/>
    <s v="On-time"/>
    <s v="Late"/>
  </r>
  <r>
    <x v="472"/>
    <n v="25"/>
    <n v="155932"/>
    <n v="754"/>
    <n v="0.31537347790843001"/>
    <x v="2"/>
    <x v="0"/>
    <n v="23685"/>
    <n v="0.186771724452271"/>
    <s v="Unemployed"/>
    <n v="16"/>
    <s v="Business"/>
    <s v="New York"/>
    <s v="On-time"/>
    <s v="Late"/>
    <s v="Late"/>
    <s v="Missed"/>
    <s v="On-time"/>
    <s v="Missed"/>
  </r>
  <r>
    <x v="473"/>
    <n v="63"/>
    <m/>
    <n v="475"/>
    <n v="0.60076368368803601"/>
    <x v="4"/>
    <x v="0"/>
    <n v="75316"/>
    <n v="0.29375884608643799"/>
    <s v="Self-employed"/>
    <n v="8"/>
    <s v="Student"/>
    <s v="Phoenix"/>
    <s v="Missed"/>
    <s v="On-time"/>
    <s v="Missed"/>
    <s v="Late"/>
    <s v="Late"/>
    <s v="Late"/>
  </r>
  <r>
    <x v="474"/>
    <n v="33"/>
    <n v="38049"/>
    <n v="508"/>
    <n v="0.67356938860625903"/>
    <x v="6"/>
    <x v="0"/>
    <n v="60348"/>
    <n v="0.29344854909412599"/>
    <s v="employed"/>
    <n v="13"/>
    <s v="Student"/>
    <s v="Los Angeles"/>
    <s v="On-time"/>
    <s v="Late"/>
    <s v="On-time"/>
    <s v="Late"/>
    <s v="Late"/>
    <s v="Late"/>
  </r>
  <r>
    <x v="475"/>
    <n v="31"/>
    <n v="169786"/>
    <n v="822"/>
    <n v="0.424382779803333"/>
    <x v="0"/>
    <x v="0"/>
    <n v="48437"/>
    <n v="0.33278611407507702"/>
    <s v="EMP"/>
    <n v="16"/>
    <s v="Student"/>
    <s v="New York"/>
    <s v="Late"/>
    <s v="Missed"/>
    <s v="Late"/>
    <s v="On-time"/>
    <s v="On-time"/>
    <s v="Missed"/>
  </r>
  <r>
    <x v="476"/>
    <n v="29"/>
    <n v="52744"/>
    <n v="796"/>
    <n v="0.38097964116905603"/>
    <x v="4"/>
    <x v="0"/>
    <n v="44439"/>
    <n v="0.29096259688815501"/>
    <s v="employed"/>
    <n v="3"/>
    <s v="Standard"/>
    <s v="Houston"/>
    <s v="On-time"/>
    <s v="Late"/>
    <s v="Missed"/>
    <s v="Missed"/>
    <s v="Missed"/>
    <s v="Late"/>
  </r>
  <r>
    <x v="477"/>
    <n v="68"/>
    <n v="24435"/>
    <n v="307"/>
    <n v="0.25750459507041801"/>
    <x v="2"/>
    <x v="1"/>
    <n v="20374"/>
    <n v="0.39773185160643199"/>
    <s v="employed"/>
    <n v="17"/>
    <s v="Student"/>
    <s v="Houston"/>
    <s v="On-time"/>
    <s v="On-time"/>
    <s v="Missed"/>
    <s v="Late"/>
    <s v="Missed"/>
    <s v="On-time"/>
  </r>
  <r>
    <x v="478"/>
    <n v="40"/>
    <n v="87474"/>
    <n v="429"/>
    <n v="0.79159104671313796"/>
    <x v="3"/>
    <x v="0"/>
    <n v="26417"/>
    <n v="0.27389059015374201"/>
    <s v="Unemployed"/>
    <n v="19"/>
    <s v="Business"/>
    <s v="Los Angeles"/>
    <s v="On-time"/>
    <s v="Late"/>
    <s v="Missed"/>
    <s v="On-time"/>
    <s v="On-time"/>
    <s v="On-time"/>
  </r>
  <r>
    <x v="479"/>
    <n v="32"/>
    <n v="86726"/>
    <n v="799"/>
    <n v="0.396867193231557"/>
    <x v="3"/>
    <x v="0"/>
    <n v="54622"/>
    <n v="0.10037237351285801"/>
    <s v="retired"/>
    <n v="14"/>
    <s v="Business"/>
    <s v="Phoenix"/>
    <s v="Late"/>
    <s v="On-time"/>
    <s v="On-time"/>
    <s v="Missed"/>
    <s v="Late"/>
    <s v="On-time"/>
  </r>
  <r>
    <x v="480"/>
    <n v="45"/>
    <n v="59482"/>
    <n v="346"/>
    <n v="0.46025219279667501"/>
    <x v="6"/>
    <x v="0"/>
    <n v="85678"/>
    <n v="0.28789033115342"/>
    <s v="employed"/>
    <n v="10"/>
    <s v="Gold"/>
    <s v="Houston"/>
    <s v="Late"/>
    <s v="On-time"/>
    <s v="On-time"/>
    <s v="Missed"/>
    <s v="On-time"/>
    <s v="Late"/>
  </r>
  <r>
    <x v="481"/>
    <n v="51"/>
    <n v="59811"/>
    <n v="792"/>
    <n v="0.56003111699914498"/>
    <x v="0"/>
    <x v="0"/>
    <m/>
    <n v="0.1"/>
    <s v="EMP"/>
    <n v="11"/>
    <s v="Standard"/>
    <s v="Houston"/>
    <s v="Late"/>
    <s v="Late"/>
    <s v="Late"/>
    <s v="On-time"/>
    <s v="On-time"/>
    <s v="Late"/>
  </r>
  <r>
    <x v="482"/>
    <n v="19"/>
    <m/>
    <n v="766"/>
    <n v="0.55644152857798601"/>
    <x v="0"/>
    <x v="0"/>
    <m/>
    <n v="0.32713909809976899"/>
    <s v="employed"/>
    <n v="8"/>
    <s v="Business"/>
    <s v="Phoenix"/>
    <s v="Missed"/>
    <s v="On-time"/>
    <s v="Late"/>
    <s v="Late"/>
    <s v="Missed"/>
    <s v="Late"/>
  </r>
  <r>
    <x v="483"/>
    <n v="49"/>
    <n v="147396"/>
    <n v="401"/>
    <n v="0.64931201913621395"/>
    <x v="0"/>
    <x v="0"/>
    <n v="7468"/>
    <n v="0.40571929989849098"/>
    <s v="employed"/>
    <n v="12"/>
    <s v="Platinum"/>
    <s v="New York"/>
    <s v="Missed"/>
    <s v="On-time"/>
    <s v="On-time"/>
    <s v="Late"/>
    <s v="Missed"/>
    <s v="On-time"/>
  </r>
  <r>
    <x v="484"/>
    <n v="40"/>
    <n v="116570"/>
    <n v="556"/>
    <n v="0.42413401603233403"/>
    <x v="4"/>
    <x v="0"/>
    <n v="76567"/>
    <n v="0.20137755137174801"/>
    <s v="employed"/>
    <n v="14"/>
    <s v="Standard"/>
    <s v="Houston"/>
    <s v="Missed"/>
    <s v="On-time"/>
    <s v="Late"/>
    <s v="Missed"/>
    <s v="On-time"/>
    <s v="On-time"/>
  </r>
  <r>
    <x v="485"/>
    <n v="39"/>
    <n v="39285"/>
    <n v="567"/>
    <n v="0.272266412305817"/>
    <x v="1"/>
    <x v="0"/>
    <n v="37463"/>
    <n v="0.44185566863918502"/>
    <s v="EMP"/>
    <n v="14"/>
    <s v="Standard"/>
    <s v="Chicago"/>
    <s v="Missed"/>
    <s v="Missed"/>
    <s v="On-time"/>
    <s v="Late"/>
    <s v="Missed"/>
    <s v="Late"/>
  </r>
  <r>
    <x v="486"/>
    <n v="68"/>
    <n v="43732"/>
    <n v="524"/>
    <n v="0.23726693820553599"/>
    <x v="1"/>
    <x v="0"/>
    <n v="53553"/>
    <n v="0.38428312447284302"/>
    <s v="retired"/>
    <n v="4"/>
    <s v="Business"/>
    <s v="Houston"/>
    <s v="On-time"/>
    <s v="Late"/>
    <s v="On-time"/>
    <s v="On-time"/>
    <s v="On-time"/>
    <s v="On-time"/>
  </r>
  <r>
    <x v="487"/>
    <n v="42"/>
    <n v="188420"/>
    <n v="550"/>
    <n v="0.38414895343143002"/>
    <x v="6"/>
    <x v="0"/>
    <n v="86846"/>
    <n v="0.42064801554150499"/>
    <s v="Unemployed"/>
    <n v="18"/>
    <s v="Platinum"/>
    <s v="New York"/>
    <s v="On-time"/>
    <s v="Missed"/>
    <s v="Late"/>
    <s v="Missed"/>
    <s v="Missed"/>
    <s v="On-time"/>
  </r>
  <r>
    <x v="488"/>
    <n v="39"/>
    <n v="115497"/>
    <n v="665"/>
    <n v="0.30962990506507498"/>
    <x v="0"/>
    <x v="0"/>
    <n v="64110"/>
    <n v="0.31895638564346301"/>
    <s v="Self-employed"/>
    <n v="19"/>
    <s v="Gold"/>
    <s v="New York"/>
    <s v="Late"/>
    <s v="Missed"/>
    <s v="Late"/>
    <s v="On-time"/>
    <s v="On-time"/>
    <s v="Missed"/>
  </r>
  <r>
    <x v="489"/>
    <n v="39"/>
    <n v="153877"/>
    <n v="618"/>
    <n v="0.43927665893844797"/>
    <x v="4"/>
    <x v="0"/>
    <n v="36029"/>
    <n v="0.200723482424817"/>
    <s v="employed"/>
    <n v="13"/>
    <s v="Business"/>
    <s v="Los Angeles"/>
    <s v="On-time"/>
    <s v="Missed"/>
    <s v="On-time"/>
    <s v="On-time"/>
    <s v="Late"/>
    <s v="On-time"/>
  </r>
  <r>
    <x v="490"/>
    <n v="66"/>
    <n v="54954"/>
    <n v="825"/>
    <n v="0.76151576215199601"/>
    <x v="3"/>
    <x v="0"/>
    <n v="77743"/>
    <n v="0.37808154278141298"/>
    <s v="Self-employed"/>
    <n v="16"/>
    <s v="Platinum"/>
    <s v="Chicago"/>
    <s v="Late"/>
    <s v="Missed"/>
    <s v="On-time"/>
    <s v="On-time"/>
    <s v="Missed"/>
    <s v="On-time"/>
  </r>
  <r>
    <x v="491"/>
    <n v="69"/>
    <n v="177993"/>
    <n v="818"/>
    <n v="0.42454435882326202"/>
    <x v="2"/>
    <x v="0"/>
    <n v="32630"/>
    <n v="0.23753990932316599"/>
    <s v="employed"/>
    <n v="17"/>
    <s v="Standard"/>
    <s v="New York"/>
    <s v="Missed"/>
    <s v="Missed"/>
    <s v="Missed"/>
    <s v="Late"/>
    <s v="Late"/>
    <s v="On-time"/>
  </r>
  <r>
    <x v="492"/>
    <n v="59"/>
    <n v="191517"/>
    <n v="813"/>
    <n v="0.424469827733088"/>
    <x v="4"/>
    <x v="0"/>
    <n v="23047"/>
    <n v="0.311788450610335"/>
    <s v="Unemployed"/>
    <n v="2"/>
    <s v="Platinum"/>
    <s v="Phoenix"/>
    <s v="Missed"/>
    <s v="Missed"/>
    <s v="Late"/>
    <s v="Late"/>
    <s v="On-time"/>
    <s v="Late"/>
  </r>
  <r>
    <x v="493"/>
    <n v="23"/>
    <n v="168487"/>
    <n v="306"/>
    <n v="0.49672024474884202"/>
    <x v="1"/>
    <x v="0"/>
    <n v="5539"/>
    <n v="0.28286490071963799"/>
    <s v="Unemployed"/>
    <n v="1"/>
    <s v="Standard"/>
    <s v="Chicago"/>
    <s v="Missed"/>
    <s v="On-time"/>
    <s v="On-time"/>
    <s v="On-time"/>
    <s v="Missed"/>
    <s v="On-time"/>
  </r>
  <r>
    <x v="494"/>
    <n v="32"/>
    <m/>
    <n v="811"/>
    <n v="0.41887500175758602"/>
    <x v="1"/>
    <x v="1"/>
    <n v="16699"/>
    <n v="0.412469585679689"/>
    <s v="employed"/>
    <n v="0"/>
    <s v="Business"/>
    <s v="Chicago"/>
    <s v="Late"/>
    <s v="Late"/>
    <s v="Late"/>
    <s v="On-time"/>
    <s v="On-time"/>
    <s v="On-time"/>
  </r>
  <r>
    <x v="495"/>
    <n v="71"/>
    <n v="48307"/>
    <n v="688"/>
    <n v="0.48652175285636101"/>
    <x v="3"/>
    <x v="0"/>
    <n v="12707"/>
    <n v="0.37303270059233201"/>
    <s v="retired"/>
    <n v="9"/>
    <s v="Business"/>
    <s v="Phoenix"/>
    <s v="On-time"/>
    <s v="On-time"/>
    <s v="Missed"/>
    <s v="On-time"/>
    <s v="On-time"/>
    <s v="Late"/>
  </r>
  <r>
    <x v="496"/>
    <n v="60"/>
    <n v="86180"/>
    <n v="836"/>
    <n v="0.60817384449626899"/>
    <x v="3"/>
    <x v="1"/>
    <n v="45595"/>
    <n v="0.29194342016876201"/>
    <s v="Unemployed"/>
    <n v="18"/>
    <s v="Student"/>
    <s v="Houston"/>
    <s v="On-time"/>
    <s v="On-time"/>
    <s v="Late"/>
    <s v="Late"/>
    <s v="Late"/>
    <s v="Missed"/>
  </r>
  <r>
    <x v="497"/>
    <n v="54"/>
    <n v="152326"/>
    <n v="847"/>
    <n v="0.67695021095266195"/>
    <x v="2"/>
    <x v="0"/>
    <n v="44449"/>
    <n v="0.104839280645984"/>
    <s v="employed"/>
    <n v="16"/>
    <s v="Student"/>
    <s v="Phoenix"/>
    <s v="On-time"/>
    <s v="Late"/>
    <s v="Late"/>
    <s v="On-time"/>
    <s v="Late"/>
    <s v="Missed"/>
  </r>
  <r>
    <x v="498"/>
    <n v="50"/>
    <n v="105852"/>
    <n v="343"/>
    <n v="0.70064263994780396"/>
    <x v="3"/>
    <x v="1"/>
    <n v="11155"/>
    <n v="0.236477253347079"/>
    <s v="employed"/>
    <n v="11"/>
    <s v="Student"/>
    <s v="Phoenix"/>
    <s v="Late"/>
    <s v="On-time"/>
    <s v="Late"/>
    <s v="Missed"/>
    <s v="On-time"/>
    <s v="Missed"/>
  </r>
  <r>
    <x v="499"/>
    <n v="25"/>
    <n v="40945"/>
    <n v="442"/>
    <n v="0.91137044414620405"/>
    <x v="6"/>
    <x v="0"/>
    <n v="36968"/>
    <n v="0.37042222894844101"/>
    <s v="Self-employed"/>
    <n v="0"/>
    <s v="Business"/>
    <s v="Houston"/>
    <s v="Missed"/>
    <s v="Late"/>
    <s v="Late"/>
    <s v="On-time"/>
    <s v="Late"/>
    <s v="On-tim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s v="CUST0001"/>
    <n v="56"/>
    <x v="0"/>
    <x v="0"/>
    <x v="0"/>
    <n v="3"/>
    <x v="0"/>
    <n v="16310"/>
    <n v="0.31739611496857001"/>
    <s v="EMP"/>
    <n v="18"/>
    <s v="Student"/>
    <s v="Los Angeles"/>
    <s v="Late"/>
    <s v="Late"/>
    <s v="Missed"/>
    <s v="Late"/>
    <s v="Missed"/>
    <s v="Late"/>
    <m/>
    <m/>
    <m/>
    <m/>
  </r>
  <r>
    <s v="CUST0002"/>
    <n v="69"/>
    <x v="1"/>
    <x v="1"/>
    <x v="1"/>
    <n v="6"/>
    <x v="1"/>
    <n v="17401"/>
    <n v="0.196092643360821"/>
    <s v="Self-employed"/>
    <n v="0"/>
    <s v="Standard"/>
    <s v="Phoenix"/>
    <s v="Missed"/>
    <s v="Missed"/>
    <s v="Late"/>
    <s v="Missed"/>
    <s v="On-time"/>
    <s v="On-time"/>
    <m/>
    <m/>
    <m/>
    <m/>
  </r>
  <r>
    <s v="CUST0003"/>
    <n v="46"/>
    <x v="2"/>
    <x v="2"/>
    <x v="2"/>
    <n v="0"/>
    <x v="0"/>
    <n v="13761"/>
    <n v="0.30165493989091102"/>
    <s v="Self-employed"/>
    <n v="1"/>
    <s v="Platinum"/>
    <s v="Chicago"/>
    <s v="Missed"/>
    <s v="Late"/>
    <s v="Late"/>
    <s v="On-time"/>
    <s v="Missed"/>
    <s v="Late"/>
    <m/>
    <m/>
    <m/>
    <m/>
  </r>
  <r>
    <s v="CUST0004"/>
    <n v="32"/>
    <x v="3"/>
    <x v="3"/>
    <x v="3"/>
    <n v="3"/>
    <x v="0"/>
    <n v="88778"/>
    <n v="0.26479443922880602"/>
    <s v="Unemployed"/>
    <n v="15"/>
    <s v="Platinum"/>
    <s v="Phoenix"/>
    <s v="Late"/>
    <s v="Missed"/>
    <s v="Late"/>
    <s v="Missed"/>
    <s v="Late"/>
    <s v="Late"/>
    <m/>
    <m/>
    <m/>
    <m/>
  </r>
  <r>
    <s v="CUST0005"/>
    <n v="60"/>
    <x v="4"/>
    <x v="4"/>
    <x v="4"/>
    <n v="2"/>
    <x v="0"/>
    <n v="13316"/>
    <n v="0.51058348253484798"/>
    <s v="Self-employed"/>
    <n v="11"/>
    <s v="Standard"/>
    <s v="Phoenix"/>
    <s v="Missed"/>
    <s v="On-time"/>
    <s v="Missed"/>
    <s v="Late"/>
    <s v="Late"/>
    <s v="Late"/>
    <m/>
    <m/>
    <m/>
    <m/>
  </r>
  <r>
    <s v="CUST0006"/>
    <n v="25"/>
    <x v="5"/>
    <x v="5"/>
    <x v="5"/>
    <n v="6"/>
    <x v="0"/>
    <n v="48361"/>
    <n v="0.26068788108000901"/>
    <s v="Unemployed"/>
    <n v="7"/>
    <s v="Gold"/>
    <s v="New York"/>
    <s v="On-time"/>
    <s v="Late"/>
    <s v="Missed"/>
    <s v="Missed"/>
    <s v="Missed"/>
    <s v="Late"/>
    <m/>
    <m/>
    <m/>
    <m/>
  </r>
  <r>
    <s v="CUST0007"/>
    <n v="38"/>
    <x v="6"/>
    <x v="6"/>
    <x v="6"/>
    <n v="3"/>
    <x v="0"/>
    <n v="4638"/>
    <n v="0.48426513728833398"/>
    <s v="employed"/>
    <n v="17"/>
    <s v="Platinum"/>
    <s v="New York"/>
    <s v="On-time"/>
    <s v="Missed"/>
    <s v="Missed"/>
    <s v="Late"/>
    <s v="Missed"/>
    <s v="Late"/>
    <m/>
    <m/>
    <m/>
    <m/>
  </r>
  <r>
    <s v="CUST0008"/>
    <n v="56"/>
    <x v="7"/>
    <x v="7"/>
    <x v="7"/>
    <n v="5"/>
    <x v="0"/>
    <n v="55776"/>
    <n v="0.35869522911833701"/>
    <s v="EMP"/>
    <n v="1"/>
    <s v="Student"/>
    <s v="New York"/>
    <s v="On-time"/>
    <s v="On-time"/>
    <s v="On-time"/>
    <s v="Late"/>
    <s v="Missed"/>
    <s v="Late"/>
    <m/>
    <m/>
    <m/>
    <m/>
  </r>
  <r>
    <s v="CUST0009"/>
    <n v="36"/>
    <x v="8"/>
    <x v="8"/>
    <x v="8"/>
    <n v="5"/>
    <x v="1"/>
    <n v="45776"/>
    <n v="0.21985410292702701"/>
    <s v="employed"/>
    <n v="12"/>
    <s v="Student"/>
    <s v="Phoenix"/>
    <s v="On-time"/>
    <s v="On-time"/>
    <s v="On-time"/>
    <s v="Missed"/>
    <s v="Late"/>
    <s v="On-time"/>
    <m/>
    <m/>
    <m/>
    <m/>
  </r>
  <r>
    <s v="CUST0010"/>
    <n v="40"/>
    <x v="9"/>
    <x v="9"/>
    <x v="9"/>
    <n v="4"/>
    <x v="0"/>
    <n v="93922"/>
    <n v="0.33308109252597501"/>
    <s v="EMP"/>
    <n v="5"/>
    <s v="Business"/>
    <s v="Los Angeles"/>
    <s v="On-time"/>
    <s v="Missed"/>
    <s v="Missed"/>
    <s v="On-time"/>
    <s v="Missed"/>
    <s v="Missed"/>
    <m/>
    <m/>
    <m/>
    <m/>
  </r>
  <r>
    <s v="CUST0011"/>
    <n v="28"/>
    <x v="10"/>
    <x v="10"/>
    <x v="10"/>
    <n v="4"/>
    <x v="0"/>
    <n v="82909"/>
    <n v="0.26955902536621801"/>
    <s v="Unemployed"/>
    <n v="5"/>
    <s v="Student"/>
    <s v="Chicago"/>
    <s v="On-time"/>
    <s v="Late"/>
    <s v="Missed"/>
    <s v="Missed"/>
    <s v="On-time"/>
    <s v="Late"/>
    <m/>
    <m/>
    <m/>
    <m/>
  </r>
  <r>
    <s v="CUST0012"/>
    <n v="28"/>
    <x v="11"/>
    <x v="9"/>
    <x v="11"/>
    <n v="3"/>
    <x v="0"/>
    <n v="75777"/>
    <n v="0.32421574907412298"/>
    <s v="Unemployed"/>
    <n v="8"/>
    <s v="Business"/>
    <s v="Chicago"/>
    <s v="On-time"/>
    <s v="Missed"/>
    <s v="Missed"/>
    <s v="Late"/>
    <s v="On-time"/>
    <s v="Late"/>
    <m/>
    <m/>
    <m/>
    <m/>
  </r>
  <r>
    <s v="CUST0013"/>
    <n v="41"/>
    <x v="12"/>
    <x v="11"/>
    <x v="12"/>
    <n v="0"/>
    <x v="0"/>
    <n v="15171"/>
    <n v="0.22861090125667299"/>
    <s v="EMP"/>
    <n v="15"/>
    <s v="Standard"/>
    <s v="Los Angeles"/>
    <s v="Late"/>
    <s v="Late"/>
    <s v="Missed"/>
    <s v="Late"/>
    <s v="On-time"/>
    <s v="On-time"/>
    <m/>
    <m/>
    <m/>
    <m/>
  </r>
  <r>
    <s v="CUST0014"/>
    <n v="70"/>
    <x v="13"/>
    <x v="12"/>
    <x v="13"/>
    <n v="5"/>
    <x v="0"/>
    <n v="95136"/>
    <n v="0.46901776333459499"/>
    <s v="retired"/>
    <n v="10"/>
    <s v="Standard"/>
    <s v="Los Angeles"/>
    <s v="On-time"/>
    <s v="Missed"/>
    <s v="Missed"/>
    <s v="Missed"/>
    <s v="On-time"/>
    <s v="On-time"/>
    <m/>
    <m/>
    <m/>
    <m/>
  </r>
  <r>
    <s v="CUST0015"/>
    <n v="53"/>
    <x v="14"/>
    <x v="13"/>
    <x v="14"/>
    <n v="0"/>
    <x v="0"/>
    <n v="2593"/>
    <n v="0.39253980907967201"/>
    <s v="Unemployed"/>
    <n v="6"/>
    <s v="Standard"/>
    <s v="Chicago"/>
    <s v="Late"/>
    <s v="Missed"/>
    <s v="Late"/>
    <s v="Late"/>
    <s v="Late"/>
    <s v="Late"/>
    <m/>
    <m/>
    <m/>
    <m/>
  </r>
  <r>
    <s v="CUST0016"/>
    <n v="57"/>
    <x v="15"/>
    <x v="14"/>
    <x v="15"/>
    <n v="0"/>
    <x v="0"/>
    <n v="1514"/>
    <n v="0.30317815681615901"/>
    <s v="Self-employed"/>
    <n v="9"/>
    <s v="Gold"/>
    <s v="Houston"/>
    <s v="Missed"/>
    <s v="On-time"/>
    <s v="Late"/>
    <s v="Missed"/>
    <s v="Missed"/>
    <s v="Late"/>
    <m/>
    <m/>
    <m/>
    <m/>
  </r>
  <r>
    <s v="CUST0017"/>
    <n v="41"/>
    <x v="16"/>
    <x v="15"/>
    <x v="16"/>
    <n v="3"/>
    <x v="0"/>
    <n v="74039"/>
    <n v="0.472911476806953"/>
    <s v="Self-employed"/>
    <n v="9"/>
    <s v="Gold"/>
    <s v="New York"/>
    <s v="Late"/>
    <s v="Missed"/>
    <s v="On-time"/>
    <s v="Missed"/>
    <s v="Missed"/>
    <s v="Late"/>
    <m/>
    <m/>
    <m/>
    <m/>
  </r>
  <r>
    <s v="CUST0018"/>
    <n v="20"/>
    <x v="17"/>
    <x v="16"/>
    <x v="17"/>
    <n v="0"/>
    <x v="1"/>
    <n v="28018"/>
    <n v="0.30742792440828398"/>
    <s v="Unemployed"/>
    <n v="19"/>
    <s v="Business"/>
    <s v="New York"/>
    <s v="On-time"/>
    <s v="On-time"/>
    <s v="Late"/>
    <s v="Late"/>
    <s v="On-time"/>
    <s v="Late"/>
    <m/>
    <m/>
    <m/>
    <m/>
  </r>
  <r>
    <s v="CUST0019"/>
    <n v="39"/>
    <x v="18"/>
    <x v="17"/>
    <x v="18"/>
    <n v="5"/>
    <x v="0"/>
    <n v="16034"/>
    <n v="0.40976249648611601"/>
    <s v="Unemployed"/>
    <n v="17"/>
    <s v="Student"/>
    <s v="Chicago"/>
    <s v="Missed"/>
    <s v="On-time"/>
    <s v="On-time"/>
    <s v="Late"/>
    <s v="On-time"/>
    <s v="Missed"/>
    <m/>
    <m/>
    <m/>
    <m/>
  </r>
  <r>
    <s v="CUST0020"/>
    <n v="70"/>
    <x v="19"/>
    <x v="18"/>
    <x v="19"/>
    <n v="2"/>
    <x v="0"/>
    <n v="2420"/>
    <n v="0.303830058752242"/>
    <s v="retired"/>
    <n v="19"/>
    <s v="Student"/>
    <s v="Los Angeles"/>
    <s v="Late"/>
    <s v="Missed"/>
    <s v="Late"/>
    <s v="Late"/>
    <s v="Late"/>
    <s v="Missed"/>
    <m/>
    <m/>
    <m/>
    <m/>
  </r>
  <r>
    <s v="CUST0021"/>
    <n v="19"/>
    <x v="20"/>
    <x v="19"/>
    <x v="20"/>
    <n v="4"/>
    <x v="0"/>
    <n v="43942"/>
    <n v="0.33938875948105701"/>
    <s v="Self-employed"/>
    <n v="8"/>
    <s v="Standard"/>
    <s v="Houston"/>
    <s v="Late"/>
    <s v="Late"/>
    <s v="On-time"/>
    <s v="On-time"/>
    <s v="On-time"/>
    <s v="Late"/>
    <m/>
    <m/>
    <m/>
    <m/>
  </r>
  <r>
    <s v="CUST0022"/>
    <n v="41"/>
    <x v="21"/>
    <x v="20"/>
    <x v="21"/>
    <n v="2"/>
    <x v="1"/>
    <n v="2200"/>
    <n v="0.29185612190572202"/>
    <s v="Unemployed"/>
    <n v="14"/>
    <s v="Platinum"/>
    <s v="Chicago"/>
    <s v="Missed"/>
    <s v="Missed"/>
    <s v="On-time"/>
    <s v="On-time"/>
    <s v="Late"/>
    <s v="Missed"/>
    <m/>
    <m/>
    <m/>
    <m/>
  </r>
  <r>
    <s v="CUST0023"/>
    <n v="61"/>
    <x v="22"/>
    <x v="21"/>
    <x v="22"/>
    <n v="0"/>
    <x v="0"/>
    <n v="81757"/>
    <n v="0.30953013538739299"/>
    <s v="Unemployed"/>
    <n v="3"/>
    <s v="Gold"/>
    <s v="New York"/>
    <s v="Late"/>
    <s v="On-time"/>
    <s v="On-time"/>
    <s v="On-time"/>
    <s v="Late"/>
    <s v="On-time"/>
    <m/>
    <m/>
    <m/>
    <m/>
  </r>
  <r>
    <s v="CUST0024"/>
    <n v="47"/>
    <x v="23"/>
    <x v="22"/>
    <x v="23"/>
    <n v="2"/>
    <x v="1"/>
    <n v="45776"/>
    <n v="0.31705318603879901"/>
    <s v="retired"/>
    <n v="7"/>
    <s v="Gold"/>
    <s v="Phoenix"/>
    <s v="Late"/>
    <s v="Late"/>
    <s v="Late"/>
    <s v="On-time"/>
    <s v="Late"/>
    <s v="Late"/>
    <m/>
    <m/>
    <m/>
    <m/>
  </r>
  <r>
    <s v="CUST0025"/>
    <n v="55"/>
    <x v="24"/>
    <x v="23"/>
    <x v="24"/>
    <n v="5"/>
    <x v="0"/>
    <n v="28018"/>
    <n v="0.23302681675115999"/>
    <s v="retired"/>
    <n v="8"/>
    <s v="Standard"/>
    <s v="Los Angeles"/>
    <s v="On-time"/>
    <s v="Missed"/>
    <s v="Missed"/>
    <s v="Missed"/>
    <s v="Late"/>
    <s v="Late"/>
    <m/>
    <m/>
    <m/>
    <m/>
  </r>
  <r>
    <s v="CUST0026"/>
    <n v="19"/>
    <x v="25"/>
    <x v="24"/>
    <x v="25"/>
    <n v="5"/>
    <x v="0"/>
    <n v="45776"/>
    <n v="0.25989313330769098"/>
    <s v="EMP"/>
    <n v="12"/>
    <s v="Gold"/>
    <s v="Phoenix"/>
    <s v="Late"/>
    <s v="Missed"/>
    <s v="On-time"/>
    <s v="Late"/>
    <s v="Missed"/>
    <s v="On-time"/>
    <m/>
    <m/>
    <m/>
    <m/>
  </r>
  <r>
    <s v="CUST0027"/>
    <n v="38"/>
    <x v="26"/>
    <x v="25"/>
    <x v="26"/>
    <n v="0"/>
    <x v="0"/>
    <n v="89660"/>
    <n v="0.27832449835138201"/>
    <s v="retired"/>
    <n v="8"/>
    <s v="Standard"/>
    <s v="Chicago"/>
    <s v="Missed"/>
    <s v="On-time"/>
    <s v="Missed"/>
    <s v="Missed"/>
    <s v="Missed"/>
    <s v="On-time"/>
    <m/>
    <m/>
    <m/>
    <m/>
  </r>
  <r>
    <s v="CUST0028"/>
    <n v="50"/>
    <x v="27"/>
    <x v="26"/>
    <x v="27"/>
    <n v="3"/>
    <x v="0"/>
    <n v="43870"/>
    <n v="0.32297110168022902"/>
    <s v="employed"/>
    <n v="3"/>
    <s v="Business"/>
    <s v="New York"/>
    <s v="Missed"/>
    <s v="On-time"/>
    <s v="Late"/>
    <s v="Late"/>
    <s v="Missed"/>
    <s v="On-time"/>
    <m/>
    <m/>
    <m/>
    <m/>
  </r>
  <r>
    <s v="CUST0029"/>
    <n v="29"/>
    <x v="28"/>
    <x v="27"/>
    <x v="28"/>
    <n v="2"/>
    <x v="0"/>
    <n v="45776"/>
    <n v="0.29694209804965299"/>
    <s v="Self-employed"/>
    <n v="16"/>
    <s v="Student"/>
    <s v="Houston"/>
    <s v="Late"/>
    <s v="Late"/>
    <s v="Missed"/>
    <s v="On-time"/>
    <s v="Late"/>
    <s v="On-time"/>
    <m/>
    <m/>
    <m/>
    <m/>
  </r>
  <r>
    <s v="CUST0030"/>
    <n v="39"/>
    <x v="29"/>
    <x v="28"/>
    <x v="29"/>
    <n v="3"/>
    <x v="0"/>
    <n v="29561"/>
    <n v="0.41730325338257002"/>
    <s v="EMP"/>
    <n v="15"/>
    <s v="Platinum"/>
    <s v="Phoenix"/>
    <s v="Late"/>
    <s v="On-time"/>
    <s v="On-time"/>
    <s v="On-time"/>
    <s v="Late"/>
    <s v="On-time"/>
    <m/>
    <m/>
    <m/>
    <m/>
  </r>
  <r>
    <s v="CUST0031"/>
    <n v="61"/>
    <x v="30"/>
    <x v="29"/>
    <x v="30"/>
    <n v="3"/>
    <x v="0"/>
    <n v="60530"/>
    <n v="0.38471183189796399"/>
    <s v="employed"/>
    <n v="14"/>
    <s v="Student"/>
    <s v="Houston"/>
    <s v="On-time"/>
    <s v="Missed"/>
    <s v="Late"/>
    <s v="Missed"/>
    <s v="On-time"/>
    <s v="Missed"/>
    <m/>
    <m/>
    <m/>
    <m/>
  </r>
  <r>
    <s v="CUST0032"/>
    <n v="42"/>
    <x v="31"/>
    <x v="30"/>
    <x v="31"/>
    <n v="1"/>
    <x v="0"/>
    <n v="46663"/>
    <n v="0.28036724439746202"/>
    <s v="Unemployed"/>
    <n v="2"/>
    <s v="Student"/>
    <s v="New York"/>
    <s v="On-time"/>
    <s v="Late"/>
    <s v="Late"/>
    <s v="On-time"/>
    <s v="On-time"/>
    <s v="Missed"/>
    <m/>
    <m/>
    <m/>
    <m/>
  </r>
  <r>
    <s v="CUST0033"/>
    <n v="66"/>
    <x v="32"/>
    <x v="31"/>
    <x v="32"/>
    <n v="0"/>
    <x v="1"/>
    <n v="11308"/>
    <n v="0.43817838974519302"/>
    <s v="Unemployed"/>
    <n v="19"/>
    <s v="Business"/>
    <s v="Phoenix"/>
    <s v="Late"/>
    <s v="Late"/>
    <s v="Late"/>
    <s v="Late"/>
    <s v="Late"/>
    <s v="On-time"/>
    <m/>
    <m/>
    <m/>
    <m/>
  </r>
  <r>
    <s v="CUST0034"/>
    <n v="44"/>
    <x v="33"/>
    <x v="32"/>
    <x v="33"/>
    <n v="4"/>
    <x v="0"/>
    <n v="99005"/>
    <n v="0.48730206235754497"/>
    <s v="EMP"/>
    <n v="4"/>
    <s v="Gold"/>
    <s v="Houston"/>
    <s v="Missed"/>
    <s v="Late"/>
    <s v="Late"/>
    <s v="Missed"/>
    <s v="On-time"/>
    <s v="Missed"/>
    <m/>
    <m/>
    <m/>
    <m/>
  </r>
  <r>
    <s v="CUST0035"/>
    <n v="59"/>
    <x v="34"/>
    <x v="33"/>
    <x v="34"/>
    <n v="5"/>
    <x v="1"/>
    <n v="60278"/>
    <n v="0.1"/>
    <s v="retired"/>
    <n v="4"/>
    <s v="Platinum"/>
    <s v="Houston"/>
    <s v="On-time"/>
    <s v="Missed"/>
    <s v="Late"/>
    <s v="Late"/>
    <s v="On-time"/>
    <s v="Late"/>
    <m/>
    <m/>
    <m/>
    <m/>
  </r>
  <r>
    <s v="CUST0036"/>
    <n v="45"/>
    <x v="35"/>
    <x v="34"/>
    <x v="35"/>
    <n v="5"/>
    <x v="0"/>
    <n v="65119"/>
    <n v="0.39322900850662701"/>
    <s v="Unemployed"/>
    <n v="19"/>
    <s v="Gold"/>
    <s v="Phoenix"/>
    <s v="Missed"/>
    <s v="Missed"/>
    <s v="Missed"/>
    <s v="On-time"/>
    <s v="On-time"/>
    <s v="On-time"/>
    <m/>
    <m/>
    <m/>
    <m/>
  </r>
  <r>
    <s v="CUST0037"/>
    <n v="33"/>
    <x v="36"/>
    <x v="35"/>
    <x v="36"/>
    <n v="0"/>
    <x v="0"/>
    <n v="36029"/>
    <n v="0.23070158026685"/>
    <s v="employed"/>
    <n v="14"/>
    <s v="Student"/>
    <s v="New York"/>
    <s v="Late"/>
    <s v="Missed"/>
    <s v="Missed"/>
    <s v="On-time"/>
    <s v="On-time"/>
    <s v="Missed"/>
    <m/>
    <m/>
    <m/>
    <m/>
  </r>
  <r>
    <s v="CUST0038"/>
    <n v="32"/>
    <x v="19"/>
    <x v="36"/>
    <x v="37"/>
    <n v="6"/>
    <x v="0"/>
    <n v="62010"/>
    <n v="0.38007480213232903"/>
    <s v="EMP"/>
    <n v="17"/>
    <s v="Standard"/>
    <s v="Houston"/>
    <s v="Missed"/>
    <s v="On-time"/>
    <s v="On-time"/>
    <s v="On-time"/>
    <s v="Missed"/>
    <s v="On-time"/>
    <m/>
    <m/>
    <m/>
    <m/>
  </r>
  <r>
    <s v="CUST0039"/>
    <n v="64"/>
    <x v="17"/>
    <x v="16"/>
    <x v="38"/>
    <n v="6"/>
    <x v="0"/>
    <n v="87164"/>
    <n v="0.42382379406464299"/>
    <s v="employed"/>
    <n v="14"/>
    <s v="Student"/>
    <s v="Chicago"/>
    <s v="Late"/>
    <s v="On-time"/>
    <s v="Late"/>
    <s v="Missed"/>
    <s v="Missed"/>
    <s v="On-time"/>
    <m/>
    <m/>
    <m/>
    <m/>
  </r>
  <r>
    <s v="CUST0040"/>
    <n v="68"/>
    <x v="37"/>
    <x v="37"/>
    <x v="39"/>
    <n v="6"/>
    <x v="0"/>
    <n v="91432"/>
    <n v="0.21230074054894399"/>
    <s v="EMP"/>
    <n v="1"/>
    <s v="Gold"/>
    <s v="Phoenix"/>
    <s v="On-time"/>
    <s v="Late"/>
    <s v="Late"/>
    <s v="On-time"/>
    <s v="On-time"/>
    <s v="On-time"/>
    <m/>
    <m/>
    <m/>
    <m/>
  </r>
  <r>
    <s v="CUST0041"/>
    <n v="61"/>
    <x v="38"/>
    <x v="38"/>
    <x v="40"/>
    <n v="4"/>
    <x v="0"/>
    <n v="44454"/>
    <n v="0.114767290098423"/>
    <s v="Self-employed"/>
    <n v="12"/>
    <s v="Student"/>
    <s v="Los Angeles"/>
    <s v="Late"/>
    <s v="Missed"/>
    <s v="Late"/>
    <s v="On-time"/>
    <s v="Late"/>
    <s v="Late"/>
    <m/>
    <m/>
    <m/>
    <m/>
  </r>
  <r>
    <s v="CUST0042"/>
    <n v="72"/>
    <x v="39"/>
    <x v="39"/>
    <x v="41"/>
    <n v="5"/>
    <x v="0"/>
    <n v="11564"/>
    <n v="0.383543408821586"/>
    <s v="retired"/>
    <n v="3"/>
    <s v="Standard"/>
    <s v="Los Angeles"/>
    <s v="Late"/>
    <s v="On-time"/>
    <s v="Late"/>
    <s v="On-time"/>
    <s v="Missed"/>
    <s v="Missed"/>
    <m/>
    <m/>
    <m/>
    <m/>
  </r>
  <r>
    <s v="CUST0043"/>
    <n v="69"/>
    <x v="38"/>
    <x v="40"/>
    <x v="42"/>
    <n v="0"/>
    <x v="1"/>
    <n v="11155"/>
    <n v="0.31354024824836102"/>
    <s v="retired"/>
    <n v="9"/>
    <s v="Business"/>
    <s v="New York"/>
    <s v="On-time"/>
    <s v="Late"/>
    <s v="Late"/>
    <s v="Late"/>
    <s v="Missed"/>
    <s v="Missed"/>
    <m/>
    <m/>
    <m/>
    <m/>
  </r>
  <r>
    <s v="CUST0044"/>
    <n v="74"/>
    <x v="8"/>
    <x v="14"/>
    <x v="43"/>
    <n v="5"/>
    <x v="0"/>
    <n v="31198"/>
    <n v="0.133156124609737"/>
    <s v="EMP"/>
    <n v="12"/>
    <s v="Gold"/>
    <s v="Chicago"/>
    <s v="On-time"/>
    <s v="Late"/>
    <s v="On-time"/>
    <s v="Missed"/>
    <s v="Missed"/>
    <s v="Late"/>
    <m/>
    <m/>
    <m/>
    <m/>
  </r>
  <r>
    <s v="CUST0045"/>
    <n v="20"/>
    <x v="40"/>
    <x v="41"/>
    <x v="44"/>
    <n v="3"/>
    <x v="0"/>
    <n v="86447"/>
    <n v="0.55295645054628195"/>
    <s v="Unemployed"/>
    <n v="9"/>
    <s v="Student"/>
    <s v="Houston"/>
    <s v="On-time"/>
    <s v="Missed"/>
    <s v="On-time"/>
    <s v="Late"/>
    <s v="On-time"/>
    <s v="Late"/>
    <m/>
    <m/>
    <m/>
    <m/>
  </r>
  <r>
    <s v="CUST0046"/>
    <n v="54"/>
    <x v="41"/>
    <x v="42"/>
    <x v="45"/>
    <n v="2"/>
    <x v="1"/>
    <n v="45776"/>
    <n v="0.36244194122565498"/>
    <s v="Unemployed"/>
    <n v="8"/>
    <s v="Gold"/>
    <s v="Los Angeles"/>
    <s v="On-time"/>
    <s v="Late"/>
    <s v="Missed"/>
    <s v="Missed"/>
    <s v="Late"/>
    <s v="On-time"/>
    <m/>
    <m/>
    <m/>
    <m/>
  </r>
  <r>
    <s v="CUST0047"/>
    <n v="68"/>
    <x v="42"/>
    <x v="43"/>
    <x v="46"/>
    <n v="2"/>
    <x v="0"/>
    <n v="5626"/>
    <n v="0.36701000401251499"/>
    <s v="employed"/>
    <n v="7"/>
    <s v="Business"/>
    <s v="New York"/>
    <s v="Missed"/>
    <s v="Missed"/>
    <s v="On-time"/>
    <s v="Late"/>
    <s v="Missed"/>
    <s v="Late"/>
    <m/>
    <m/>
    <m/>
    <m/>
  </r>
  <r>
    <s v="CUST0048"/>
    <n v="24"/>
    <x v="43"/>
    <x v="44"/>
    <x v="47"/>
    <n v="5"/>
    <x v="0"/>
    <n v="2687"/>
    <n v="0.43658177525620401"/>
    <s v="employed"/>
    <n v="2"/>
    <s v="Student"/>
    <s v="Chicago"/>
    <s v="On-time"/>
    <s v="Late"/>
    <s v="On-time"/>
    <s v="Missed"/>
    <s v="On-time"/>
    <s v="On-time"/>
    <m/>
    <m/>
    <m/>
    <m/>
  </r>
  <r>
    <s v="CUST0049"/>
    <n v="38"/>
    <x v="37"/>
    <x v="45"/>
    <x v="48"/>
    <n v="1"/>
    <x v="0"/>
    <n v="63375"/>
    <n v="0.24191760471534901"/>
    <s v="retired"/>
    <n v="15"/>
    <s v="Student"/>
    <s v="Chicago"/>
    <s v="Late"/>
    <s v="On-time"/>
    <s v="On-time"/>
    <s v="On-time"/>
    <s v="Missed"/>
    <s v="Late"/>
    <m/>
    <m/>
    <m/>
    <m/>
  </r>
  <r>
    <s v="CUST0050"/>
    <n v="26"/>
    <x v="44"/>
    <x v="46"/>
    <x v="49"/>
    <n v="4"/>
    <x v="0"/>
    <n v="92865"/>
    <n v="0.31304541120886697"/>
    <s v="employed"/>
    <n v="13"/>
    <s v="Gold"/>
    <s v="New York"/>
    <s v="Late"/>
    <s v="Missed"/>
    <s v="Missed"/>
    <s v="Late"/>
    <s v="On-time"/>
    <s v="Missed"/>
    <m/>
    <m/>
    <m/>
    <m/>
  </r>
  <r>
    <s v="CUST0051"/>
    <n v="56"/>
    <x v="45"/>
    <x v="47"/>
    <x v="50"/>
    <n v="6"/>
    <x v="0"/>
    <n v="92183"/>
    <n v="0.168067808622023"/>
    <s v="employed"/>
    <n v="8"/>
    <s v="Gold"/>
    <s v="New York"/>
    <s v="Missed"/>
    <s v="Late"/>
    <s v="On-time"/>
    <s v="Late"/>
    <s v="Late"/>
    <s v="On-time"/>
    <m/>
    <m/>
    <m/>
    <m/>
  </r>
  <r>
    <s v="CUST0052"/>
    <n v="35"/>
    <x v="46"/>
    <x v="48"/>
    <x v="51"/>
    <n v="4"/>
    <x v="0"/>
    <n v="45776"/>
    <n v="0.23920515527148101"/>
    <s v="employed"/>
    <n v="10"/>
    <s v="Standard"/>
    <s v="Houston"/>
    <s v="Late"/>
    <s v="Missed"/>
    <s v="Late"/>
    <s v="Late"/>
    <s v="Missed"/>
    <s v="On-time"/>
    <m/>
    <m/>
    <m/>
    <m/>
  </r>
  <r>
    <s v="CUST0053"/>
    <n v="21"/>
    <x v="47"/>
    <x v="16"/>
    <x v="52"/>
    <n v="4"/>
    <x v="0"/>
    <n v="45776"/>
    <n v="0.338566000046923"/>
    <s v="employed"/>
    <n v="2"/>
    <s v="Business"/>
    <s v="New York"/>
    <s v="Missed"/>
    <s v="Missed"/>
    <s v="Late"/>
    <s v="On-time"/>
    <s v="On-time"/>
    <s v="Missed"/>
    <m/>
    <m/>
    <m/>
    <m/>
  </r>
  <r>
    <s v="CUST0054"/>
    <n v="42"/>
    <x v="48"/>
    <x v="49"/>
    <x v="53"/>
    <n v="3"/>
    <x v="0"/>
    <n v="29427"/>
    <n v="0.13347153328675401"/>
    <s v="employed"/>
    <n v="4"/>
    <s v="Standard"/>
    <s v="Houston"/>
    <s v="Late"/>
    <s v="Missed"/>
    <s v="On-time"/>
    <s v="On-time"/>
    <s v="On-time"/>
    <s v="Missed"/>
    <m/>
    <m/>
    <m/>
    <m/>
  </r>
  <r>
    <s v="CUST0055"/>
    <n v="31"/>
    <x v="49"/>
    <x v="50"/>
    <x v="54"/>
    <n v="4"/>
    <x v="0"/>
    <n v="69342"/>
    <n v="0.23637104543219101"/>
    <s v="retired"/>
    <n v="9"/>
    <s v="Student"/>
    <s v="Houston"/>
    <s v="Late"/>
    <s v="On-time"/>
    <s v="On-time"/>
    <s v="On-time"/>
    <s v="Late"/>
    <s v="Late"/>
    <m/>
    <m/>
    <m/>
    <m/>
  </r>
  <r>
    <s v="CUST0056"/>
    <n v="67"/>
    <x v="50"/>
    <x v="51"/>
    <x v="55"/>
    <n v="2"/>
    <x v="0"/>
    <n v="17401"/>
    <n v="0.20720660400622701"/>
    <s v="retired"/>
    <n v="12"/>
    <s v="Gold"/>
    <s v="Phoenix"/>
    <s v="On-time"/>
    <s v="Late"/>
    <s v="Late"/>
    <s v="On-time"/>
    <s v="Late"/>
    <s v="Late"/>
    <m/>
    <m/>
    <m/>
    <m/>
  </r>
  <r>
    <s v="CUST0057"/>
    <n v="26"/>
    <x v="51"/>
    <x v="52"/>
    <x v="56"/>
    <n v="3"/>
    <x v="0"/>
    <n v="35372"/>
    <n v="0.31420922456203398"/>
    <s v="employed"/>
    <n v="3"/>
    <s v="Student"/>
    <s v="Chicago"/>
    <s v="On-time"/>
    <s v="Late"/>
    <s v="Late"/>
    <s v="Late"/>
    <s v="Missed"/>
    <s v="On-time"/>
    <m/>
    <m/>
    <m/>
    <m/>
  </r>
  <r>
    <s v="CUST0058"/>
    <n v="43"/>
    <x v="52"/>
    <x v="53"/>
    <x v="57"/>
    <n v="0"/>
    <x v="0"/>
    <n v="70793"/>
    <n v="0.35747012616653401"/>
    <s v="EMP"/>
    <n v="12"/>
    <s v="Student"/>
    <s v="Chicago"/>
    <s v="Missed"/>
    <s v="Missed"/>
    <s v="Missed"/>
    <s v="Missed"/>
    <s v="Late"/>
    <s v="On-time"/>
    <m/>
    <m/>
    <m/>
    <m/>
  </r>
  <r>
    <s v="CUST0059"/>
    <n v="70"/>
    <x v="18"/>
    <x v="42"/>
    <x v="58"/>
    <n v="4"/>
    <x v="0"/>
    <n v="63443"/>
    <n v="0.37421528043764501"/>
    <s v="retired"/>
    <n v="11"/>
    <s v="Platinum"/>
    <s v="Chicago"/>
    <s v="Late"/>
    <s v="Missed"/>
    <s v="Missed"/>
    <s v="Missed"/>
    <s v="Late"/>
    <s v="Missed"/>
    <m/>
    <m/>
    <m/>
    <m/>
  </r>
  <r>
    <s v="CUST0060"/>
    <n v="19"/>
    <x v="38"/>
    <x v="22"/>
    <x v="59"/>
    <n v="4"/>
    <x v="0"/>
    <n v="37445"/>
    <n v="0.39988166447781498"/>
    <s v="EMP"/>
    <n v="4"/>
    <s v="Platinum"/>
    <s v="Phoenix"/>
    <s v="On-time"/>
    <s v="Late"/>
    <s v="Missed"/>
    <s v="Late"/>
    <s v="Missed"/>
    <s v="On-time"/>
    <m/>
    <m/>
    <m/>
    <m/>
  </r>
  <r>
    <s v="CUST0061"/>
    <n v="37"/>
    <x v="53"/>
    <x v="54"/>
    <x v="60"/>
    <n v="0"/>
    <x v="1"/>
    <n v="64950"/>
    <n v="0.43721168465723698"/>
    <s v="Unemployed"/>
    <n v="9"/>
    <s v="Student"/>
    <s v="Houston"/>
    <s v="On-time"/>
    <s v="Missed"/>
    <s v="Late"/>
    <s v="Missed"/>
    <s v="Missed"/>
    <s v="On-time"/>
    <m/>
    <m/>
    <m/>
    <m/>
  </r>
  <r>
    <s v="CUST0062"/>
    <n v="45"/>
    <x v="54"/>
    <x v="55"/>
    <x v="61"/>
    <n v="4"/>
    <x v="0"/>
    <n v="49893"/>
    <n v="0.36072454536833998"/>
    <s v="employed"/>
    <n v="8"/>
    <s v="Gold"/>
    <s v="Houston"/>
    <s v="Late"/>
    <s v="Missed"/>
    <s v="On-time"/>
    <s v="On-time"/>
    <s v="Missed"/>
    <s v="Missed"/>
    <m/>
    <m/>
    <m/>
    <m/>
  </r>
  <r>
    <s v="CUST0063"/>
    <n v="64"/>
    <x v="55"/>
    <x v="56"/>
    <x v="62"/>
    <n v="0"/>
    <x v="0"/>
    <n v="81202"/>
    <n v="0.48873358988944099"/>
    <s v="retired"/>
    <n v="19"/>
    <s v="Student"/>
    <s v="New York"/>
    <s v="Missed"/>
    <s v="Late"/>
    <s v="Late"/>
    <s v="On-time"/>
    <s v="Late"/>
    <s v="On-time"/>
    <m/>
    <m/>
    <m/>
    <m/>
  </r>
  <r>
    <s v="CUST0064"/>
    <n v="24"/>
    <x v="46"/>
    <x v="57"/>
    <x v="63"/>
    <n v="3"/>
    <x v="0"/>
    <n v="54247"/>
    <n v="0.31195025212646799"/>
    <s v="Self-employed"/>
    <n v="6"/>
    <s v="Platinum"/>
    <s v="Phoenix"/>
    <s v="Missed"/>
    <s v="Missed"/>
    <s v="Missed"/>
    <s v="Missed"/>
    <s v="On-time"/>
    <s v="Missed"/>
    <m/>
    <m/>
    <m/>
    <m/>
  </r>
  <r>
    <s v="CUST0065"/>
    <n v="61"/>
    <x v="56"/>
    <x v="58"/>
    <x v="64"/>
    <n v="2"/>
    <x v="0"/>
    <n v="86488"/>
    <n v="0.28266788457494502"/>
    <s v="Unemployed"/>
    <n v="1"/>
    <s v="Gold"/>
    <s v="New York"/>
    <s v="On-time"/>
    <s v="Missed"/>
    <s v="Late"/>
    <s v="On-time"/>
    <s v="On-time"/>
    <s v="Late"/>
    <m/>
    <m/>
    <m/>
    <m/>
  </r>
  <r>
    <s v="CUST0066"/>
    <n v="25"/>
    <x v="57"/>
    <x v="59"/>
    <x v="65"/>
    <n v="0"/>
    <x v="0"/>
    <n v="95267"/>
    <n v="0.360730736336004"/>
    <s v="EMP"/>
    <n v="6"/>
    <s v="Student"/>
    <s v="Phoenix"/>
    <s v="Missed"/>
    <s v="On-time"/>
    <s v="Missed"/>
    <s v="Missed"/>
    <s v="Late"/>
    <s v="Missed"/>
    <m/>
    <m/>
    <m/>
    <m/>
  </r>
  <r>
    <s v="CUST0067"/>
    <n v="64"/>
    <x v="38"/>
    <x v="60"/>
    <x v="66"/>
    <n v="1"/>
    <x v="0"/>
    <n v="99005"/>
    <n v="0.27835888250074098"/>
    <s v="retired"/>
    <n v="7"/>
    <s v="Business"/>
    <s v="New York"/>
    <s v="On-time"/>
    <s v="Late"/>
    <s v="On-time"/>
    <s v="Missed"/>
    <s v="On-time"/>
    <s v="On-time"/>
    <m/>
    <m/>
    <m/>
    <m/>
  </r>
  <r>
    <s v="CUST0068"/>
    <n v="52"/>
    <x v="58"/>
    <x v="61"/>
    <x v="67"/>
    <n v="0"/>
    <x v="0"/>
    <n v="7468"/>
    <n v="0.48525647287750401"/>
    <s v="employed"/>
    <n v="6"/>
    <s v="Business"/>
    <s v="Los Angeles"/>
    <s v="Missed"/>
    <s v="Missed"/>
    <s v="On-time"/>
    <s v="Late"/>
    <s v="Late"/>
    <s v="Missed"/>
    <m/>
    <m/>
    <m/>
    <m/>
  </r>
  <r>
    <s v="CUST0069"/>
    <n v="31"/>
    <x v="38"/>
    <x v="62"/>
    <x v="68"/>
    <n v="4"/>
    <x v="0"/>
    <n v="85026"/>
    <n v="0.41309834731352102"/>
    <s v="employed"/>
    <n v="13"/>
    <s v="Student"/>
    <s v="Chicago"/>
    <s v="Missed"/>
    <s v="Late"/>
    <s v="Missed"/>
    <s v="Late"/>
    <s v="Late"/>
    <s v="Missed"/>
    <m/>
    <m/>
    <m/>
    <m/>
  </r>
  <r>
    <s v="CUST0070"/>
    <n v="34"/>
    <x v="39"/>
    <x v="63"/>
    <x v="69"/>
    <n v="6"/>
    <x v="0"/>
    <n v="24917"/>
    <n v="0.37502781441995098"/>
    <s v="Self-employed"/>
    <n v="18"/>
    <s v="Gold"/>
    <s v="Chicago"/>
    <s v="Late"/>
    <s v="Missed"/>
    <s v="On-time"/>
    <s v="On-time"/>
    <s v="On-time"/>
    <s v="Missed"/>
    <m/>
    <m/>
    <m/>
    <m/>
  </r>
  <r>
    <s v="CUST0071"/>
    <n v="53"/>
    <x v="59"/>
    <x v="64"/>
    <x v="70"/>
    <n v="6"/>
    <x v="1"/>
    <n v="77348"/>
    <n v="0.31314193440413501"/>
    <s v="EMP"/>
    <n v="4"/>
    <s v="Student"/>
    <s v="Houston"/>
    <s v="On-time"/>
    <s v="On-time"/>
    <s v="Missed"/>
    <s v="Missed"/>
    <s v="On-time"/>
    <s v="Late"/>
    <m/>
    <m/>
    <m/>
    <m/>
  </r>
  <r>
    <s v="CUST0072"/>
    <n v="67"/>
    <x v="60"/>
    <x v="65"/>
    <x v="71"/>
    <n v="3"/>
    <x v="0"/>
    <n v="16310"/>
    <n v="0.25925228285851298"/>
    <s v="Unemployed"/>
    <n v="17"/>
    <s v="Student"/>
    <s v="Los Angeles"/>
    <s v="Missed"/>
    <s v="On-time"/>
    <s v="On-time"/>
    <s v="Missed"/>
    <s v="On-time"/>
    <s v="On-time"/>
    <m/>
    <m/>
    <m/>
    <m/>
  </r>
  <r>
    <s v="CUST0073"/>
    <n v="57"/>
    <x v="61"/>
    <x v="66"/>
    <x v="72"/>
    <n v="5"/>
    <x v="0"/>
    <n v="95303"/>
    <n v="0.37013250045677598"/>
    <s v="employed"/>
    <n v="19"/>
    <s v="Platinum"/>
    <s v="Chicago"/>
    <s v="Late"/>
    <s v="Late"/>
    <s v="Missed"/>
    <s v="On-time"/>
    <s v="On-time"/>
    <s v="Missed"/>
    <m/>
    <m/>
    <m/>
    <m/>
  </r>
  <r>
    <s v="CUST0074"/>
    <n v="21"/>
    <x v="62"/>
    <x v="67"/>
    <x v="73"/>
    <n v="3"/>
    <x v="0"/>
    <n v="13355"/>
    <n v="0.18729025481530401"/>
    <s v="Self-employed"/>
    <n v="11"/>
    <s v="Business"/>
    <s v="Houston"/>
    <s v="On-time"/>
    <s v="On-time"/>
    <s v="Missed"/>
    <s v="Late"/>
    <s v="On-time"/>
    <s v="Missed"/>
    <m/>
    <m/>
    <m/>
    <m/>
  </r>
  <r>
    <s v="CUST0075"/>
    <n v="19"/>
    <x v="63"/>
    <x v="68"/>
    <x v="74"/>
    <n v="5"/>
    <x v="0"/>
    <n v="96507"/>
    <n v="0.45343635334410198"/>
    <s v="employed"/>
    <n v="16"/>
    <s v="Platinum"/>
    <s v="Los Angeles"/>
    <s v="On-time"/>
    <s v="On-time"/>
    <s v="On-time"/>
    <s v="Missed"/>
    <s v="On-time"/>
    <s v="On-time"/>
    <m/>
    <m/>
    <m/>
    <m/>
  </r>
  <r>
    <s v="CUST0076"/>
    <n v="23"/>
    <x v="64"/>
    <x v="69"/>
    <x v="50"/>
    <n v="6"/>
    <x v="0"/>
    <n v="24851"/>
    <n v="0.28223632946146199"/>
    <s v="retired"/>
    <n v="12"/>
    <s v="Platinum"/>
    <s v="Chicago"/>
    <s v="Missed"/>
    <s v="Missed"/>
    <s v="Late"/>
    <s v="Missed"/>
    <s v="Late"/>
    <s v="On-time"/>
    <m/>
    <m/>
    <m/>
    <m/>
  </r>
  <r>
    <s v="CUST0077"/>
    <n v="71"/>
    <x v="38"/>
    <x v="70"/>
    <x v="75"/>
    <n v="6"/>
    <x v="0"/>
    <n v="23908"/>
    <n v="0.33051067332407202"/>
    <s v="employed"/>
    <n v="1"/>
    <s v="Student"/>
    <s v="New York"/>
    <s v="Late"/>
    <s v="Missed"/>
    <s v="Late"/>
    <s v="On-time"/>
    <s v="Missed"/>
    <s v="Missed"/>
    <m/>
    <m/>
    <m/>
    <m/>
  </r>
  <r>
    <s v="CUST0078"/>
    <n v="59"/>
    <x v="65"/>
    <x v="71"/>
    <x v="50"/>
    <n v="0"/>
    <x v="0"/>
    <n v="65548"/>
    <n v="0.209039892380671"/>
    <s v="Unemployed"/>
    <n v="12"/>
    <s v="Platinum"/>
    <s v="Phoenix"/>
    <s v="Missed"/>
    <s v="On-time"/>
    <s v="On-time"/>
    <s v="On-time"/>
    <s v="On-time"/>
    <s v="On-time"/>
    <m/>
    <m/>
    <m/>
    <m/>
  </r>
  <r>
    <s v="CUST0079"/>
    <n v="21"/>
    <x v="66"/>
    <x v="72"/>
    <x v="76"/>
    <n v="2"/>
    <x v="0"/>
    <n v="82909"/>
    <n v="0.37229862631192201"/>
    <s v="employed"/>
    <n v="6"/>
    <s v="Business"/>
    <s v="Los Angeles"/>
    <s v="On-time"/>
    <s v="Missed"/>
    <s v="On-time"/>
    <s v="Late"/>
    <s v="On-time"/>
    <s v="Late"/>
    <m/>
    <m/>
    <m/>
    <m/>
  </r>
  <r>
    <s v="CUST0080"/>
    <n v="71"/>
    <x v="67"/>
    <x v="73"/>
    <x v="77"/>
    <n v="1"/>
    <x v="0"/>
    <n v="31454"/>
    <n v="0.25462583871616701"/>
    <s v="EMP"/>
    <n v="9"/>
    <s v="Platinum"/>
    <s v="Houston"/>
    <s v="Missed"/>
    <s v="On-time"/>
    <s v="Late"/>
    <s v="On-time"/>
    <s v="On-time"/>
    <s v="Late"/>
    <m/>
    <m/>
    <m/>
    <m/>
  </r>
  <r>
    <s v="CUST0081"/>
    <n v="46"/>
    <x v="68"/>
    <x v="74"/>
    <x v="78"/>
    <n v="3"/>
    <x v="0"/>
    <n v="4617"/>
    <n v="0.36492287903050902"/>
    <s v="retired"/>
    <n v="5"/>
    <s v="Business"/>
    <s v="Los Angeles"/>
    <s v="Missed"/>
    <s v="Late"/>
    <s v="Late"/>
    <s v="On-time"/>
    <s v="Late"/>
    <s v="On-time"/>
    <m/>
    <m/>
    <m/>
    <m/>
  </r>
  <r>
    <s v="CUST0082"/>
    <n v="35"/>
    <x v="69"/>
    <x v="75"/>
    <x v="79"/>
    <n v="4"/>
    <x v="0"/>
    <n v="92329"/>
    <n v="0.37573934689773802"/>
    <s v="retired"/>
    <n v="2"/>
    <s v="Platinum"/>
    <s v="Houston"/>
    <s v="Late"/>
    <s v="Late"/>
    <s v="Missed"/>
    <s v="On-time"/>
    <s v="Late"/>
    <s v="Late"/>
    <m/>
    <m/>
    <m/>
    <m/>
  </r>
  <r>
    <s v="CUST0083"/>
    <n v="43"/>
    <x v="70"/>
    <x v="68"/>
    <x v="80"/>
    <n v="5"/>
    <x v="0"/>
    <n v="28298"/>
    <n v="0.235236788641145"/>
    <s v="Unemployed"/>
    <n v="2"/>
    <s v="Business"/>
    <s v="Los Angeles"/>
    <s v="On-time"/>
    <s v="Missed"/>
    <s v="Late"/>
    <s v="Late"/>
    <s v="Missed"/>
    <s v="Missed"/>
    <m/>
    <m/>
    <m/>
    <m/>
  </r>
  <r>
    <s v="CUST0084"/>
    <n v="61"/>
    <x v="67"/>
    <x v="76"/>
    <x v="81"/>
    <n v="4"/>
    <x v="0"/>
    <n v="10942"/>
    <n v="0.18764708790859999"/>
    <s v="retired"/>
    <n v="17"/>
    <s v="Platinum"/>
    <s v="Houston"/>
    <s v="Late"/>
    <s v="Late"/>
    <s v="Missed"/>
    <s v="Late"/>
    <s v="Late"/>
    <s v="Late"/>
    <m/>
    <m/>
    <m/>
    <m/>
  </r>
  <r>
    <s v="CUST0085"/>
    <n v="51"/>
    <x v="71"/>
    <x v="47"/>
    <x v="82"/>
    <n v="2"/>
    <x v="0"/>
    <n v="51440"/>
    <n v="0.45318999165445401"/>
    <s v="EMP"/>
    <n v="10"/>
    <s v="Platinum"/>
    <s v="Chicago"/>
    <s v="On-time"/>
    <s v="Missed"/>
    <s v="Late"/>
    <s v="On-time"/>
    <s v="Late"/>
    <s v="On-time"/>
    <m/>
    <m/>
    <m/>
    <m/>
  </r>
  <r>
    <s v="CUST0086"/>
    <n v="27"/>
    <x v="72"/>
    <x v="77"/>
    <x v="83"/>
    <n v="5"/>
    <x v="0"/>
    <n v="12707"/>
    <n v="0.28077009659709101"/>
    <s v="employed"/>
    <n v="19"/>
    <s v="Gold"/>
    <s v="New York"/>
    <s v="Missed"/>
    <s v="Missed"/>
    <s v="On-time"/>
    <s v="Late"/>
    <s v="Missed"/>
    <s v="On-time"/>
    <m/>
    <m/>
    <m/>
    <m/>
  </r>
  <r>
    <s v="CUST0087"/>
    <n v="53"/>
    <x v="73"/>
    <x v="14"/>
    <x v="84"/>
    <n v="3"/>
    <x v="1"/>
    <n v="92865"/>
    <n v="0.32248488160456301"/>
    <s v="Unemployed"/>
    <n v="4"/>
    <s v="Business"/>
    <s v="Chicago"/>
    <s v="On-time"/>
    <s v="Missed"/>
    <s v="On-time"/>
    <s v="Late"/>
    <s v="On-time"/>
    <s v="Missed"/>
    <m/>
    <m/>
    <m/>
    <m/>
  </r>
  <r>
    <s v="CUST0088"/>
    <n v="31"/>
    <x v="2"/>
    <x v="78"/>
    <x v="85"/>
    <n v="0"/>
    <x v="0"/>
    <n v="35598"/>
    <n v="0.34854645246467397"/>
    <s v="retired"/>
    <n v="18"/>
    <s v="Business"/>
    <s v="New York"/>
    <s v="On-time"/>
    <s v="Late"/>
    <s v="On-time"/>
    <s v="Late"/>
    <s v="Missed"/>
    <s v="On-time"/>
    <m/>
    <m/>
    <m/>
    <m/>
  </r>
  <r>
    <s v="CUST0089"/>
    <n v="48"/>
    <x v="74"/>
    <x v="79"/>
    <x v="86"/>
    <n v="4"/>
    <x v="0"/>
    <n v="51431"/>
    <n v="0.17462998701017701"/>
    <s v="retired"/>
    <n v="18"/>
    <s v="Business"/>
    <s v="Chicago"/>
    <s v="On-time"/>
    <s v="Late"/>
    <s v="Missed"/>
    <s v="Late"/>
    <s v="Missed"/>
    <s v="On-time"/>
    <m/>
    <m/>
    <m/>
    <m/>
  </r>
  <r>
    <s v="CUST0090"/>
    <n v="65"/>
    <x v="75"/>
    <x v="80"/>
    <x v="87"/>
    <n v="2"/>
    <x v="0"/>
    <n v="2200"/>
    <n v="0.34626661368198802"/>
    <s v="EMP"/>
    <n v="14"/>
    <s v="Standard"/>
    <s v="Chicago"/>
    <s v="On-time"/>
    <s v="Late"/>
    <s v="On-time"/>
    <s v="Missed"/>
    <s v="Missed"/>
    <s v="On-time"/>
    <m/>
    <m/>
    <m/>
    <m/>
  </r>
  <r>
    <s v="CUST0091"/>
    <n v="32"/>
    <x v="49"/>
    <x v="81"/>
    <x v="88"/>
    <n v="3"/>
    <x v="0"/>
    <n v="20525"/>
    <n v="0.309912653615463"/>
    <s v="employed"/>
    <n v="15"/>
    <s v="Platinum"/>
    <s v="Los Angeles"/>
    <s v="On-time"/>
    <s v="Late"/>
    <s v="Late"/>
    <s v="On-time"/>
    <s v="On-time"/>
    <s v="Late"/>
    <m/>
    <m/>
    <m/>
    <m/>
  </r>
  <r>
    <s v="CUST0092"/>
    <n v="25"/>
    <x v="76"/>
    <x v="82"/>
    <x v="89"/>
    <n v="6"/>
    <x v="0"/>
    <n v="44437"/>
    <n v="0.23564693022955999"/>
    <s v="employed"/>
    <n v="8"/>
    <s v="Business"/>
    <s v="Phoenix"/>
    <s v="Missed"/>
    <s v="Late"/>
    <s v="Late"/>
    <s v="On-time"/>
    <s v="On-time"/>
    <s v="Late"/>
    <m/>
    <m/>
    <m/>
    <m/>
  </r>
  <r>
    <s v="CUST0093"/>
    <n v="31"/>
    <x v="49"/>
    <x v="38"/>
    <x v="90"/>
    <n v="6"/>
    <x v="0"/>
    <n v="59192"/>
    <n v="0.184346401516227"/>
    <s v="retired"/>
    <n v="3"/>
    <s v="Standard"/>
    <s v="Houston"/>
    <s v="Late"/>
    <s v="Late"/>
    <s v="Missed"/>
    <s v="On-time"/>
    <s v="Missed"/>
    <s v="On-time"/>
    <m/>
    <m/>
    <m/>
    <m/>
  </r>
  <r>
    <s v="CUST0094"/>
    <n v="40"/>
    <x v="38"/>
    <x v="83"/>
    <x v="91"/>
    <n v="3"/>
    <x v="0"/>
    <n v="17401"/>
    <n v="0.36058855479572699"/>
    <s v="employed"/>
    <n v="14"/>
    <s v="Gold"/>
    <s v="Houston"/>
    <s v="On-time"/>
    <s v="Late"/>
    <s v="Missed"/>
    <s v="On-time"/>
    <s v="On-time"/>
    <s v="Late"/>
    <m/>
    <m/>
    <m/>
    <m/>
  </r>
  <r>
    <s v="CUST0095"/>
    <n v="74"/>
    <x v="6"/>
    <x v="84"/>
    <x v="92"/>
    <n v="3"/>
    <x v="0"/>
    <n v="67236"/>
    <n v="0.41277120081948698"/>
    <s v="Unemployed"/>
    <n v="11"/>
    <s v="Business"/>
    <s v="Houston"/>
    <s v="Missed"/>
    <s v="Late"/>
    <s v="Missed"/>
    <s v="Missed"/>
    <s v="Missed"/>
    <s v="On-time"/>
    <m/>
    <m/>
    <m/>
    <m/>
  </r>
  <r>
    <s v="CUST0096"/>
    <n v="57"/>
    <x v="49"/>
    <x v="85"/>
    <x v="93"/>
    <n v="3"/>
    <x v="0"/>
    <n v="11251"/>
    <n v="0.31785905173927997"/>
    <s v="retired"/>
    <n v="2"/>
    <s v="Business"/>
    <s v="New York"/>
    <s v="On-time"/>
    <s v="Late"/>
    <s v="Missed"/>
    <s v="Late"/>
    <s v="Missed"/>
    <s v="Missed"/>
    <m/>
    <m/>
    <m/>
    <m/>
  </r>
  <r>
    <s v="CUST0097"/>
    <n v="38"/>
    <x v="77"/>
    <x v="86"/>
    <x v="94"/>
    <n v="5"/>
    <x v="0"/>
    <n v="8110"/>
    <n v="0.15655346581503099"/>
    <s v="Self-employed"/>
    <n v="13"/>
    <s v="Standard"/>
    <s v="Houston"/>
    <s v="On-time"/>
    <s v="On-time"/>
    <s v="Missed"/>
    <s v="Missed"/>
    <s v="On-time"/>
    <s v="On-time"/>
    <m/>
    <m/>
    <m/>
    <m/>
  </r>
  <r>
    <s v="CUST0098"/>
    <n v="33"/>
    <x v="78"/>
    <x v="48"/>
    <x v="50"/>
    <n v="3"/>
    <x v="0"/>
    <n v="10778"/>
    <n v="0.19426671828252601"/>
    <s v="Unemployed"/>
    <n v="16"/>
    <s v="Platinum"/>
    <s v="Houston"/>
    <s v="Missed"/>
    <s v="Late"/>
    <s v="On-time"/>
    <s v="On-time"/>
    <s v="Missed"/>
    <s v="On-time"/>
    <m/>
    <m/>
    <m/>
    <m/>
  </r>
  <r>
    <s v="CUST0099"/>
    <n v="62"/>
    <x v="79"/>
    <x v="87"/>
    <x v="95"/>
    <n v="4"/>
    <x v="1"/>
    <n v="50183"/>
    <n v="0.256787629067594"/>
    <s v="employed"/>
    <n v="18"/>
    <s v="Gold"/>
    <s v="Los Angeles"/>
    <s v="Missed"/>
    <s v="Late"/>
    <s v="On-time"/>
    <s v="Missed"/>
    <s v="On-time"/>
    <s v="Late"/>
    <m/>
    <m/>
    <m/>
    <m/>
  </r>
  <r>
    <s v="CUST0100"/>
    <n v="35"/>
    <x v="80"/>
    <x v="88"/>
    <x v="96"/>
    <n v="2"/>
    <x v="0"/>
    <n v="13355"/>
    <n v="0.45646197411607498"/>
    <s v="retired"/>
    <n v="5"/>
    <s v="Business"/>
    <s v="Chicago"/>
    <s v="Late"/>
    <s v="Missed"/>
    <s v="Missed"/>
    <s v="Late"/>
    <s v="Late"/>
    <s v="Late"/>
    <m/>
    <m/>
    <m/>
    <m/>
  </r>
  <r>
    <s v="CUST0101"/>
    <n v="64"/>
    <x v="81"/>
    <x v="76"/>
    <x v="97"/>
    <n v="5"/>
    <x v="0"/>
    <n v="11061"/>
    <n v="0.27532493379011203"/>
    <s v="EMP"/>
    <n v="3"/>
    <s v="Platinum"/>
    <s v="Houston"/>
    <s v="On-time"/>
    <s v="Late"/>
    <s v="Missed"/>
    <s v="Late"/>
    <s v="Late"/>
    <s v="Missed"/>
    <m/>
    <m/>
    <m/>
    <m/>
  </r>
  <r>
    <s v="CUST0102"/>
    <n v="70"/>
    <x v="82"/>
    <x v="89"/>
    <x v="98"/>
    <n v="3"/>
    <x v="0"/>
    <n v="79354"/>
    <n v="0.25314310772018001"/>
    <s v="Self-employed"/>
    <n v="6"/>
    <s v="Gold"/>
    <s v="Phoenix"/>
    <s v="Late"/>
    <s v="Missed"/>
    <s v="Missed"/>
    <s v="Missed"/>
    <s v="Missed"/>
    <s v="On-time"/>
    <m/>
    <m/>
    <m/>
    <m/>
  </r>
  <r>
    <s v="CUST0103"/>
    <n v="41"/>
    <x v="83"/>
    <x v="90"/>
    <x v="99"/>
    <n v="1"/>
    <x v="1"/>
    <n v="45776"/>
    <n v="0.132651520032388"/>
    <s v="retired"/>
    <n v="18"/>
    <s v="Student"/>
    <s v="Houston"/>
    <s v="Late"/>
    <s v="Missed"/>
    <s v="Late"/>
    <s v="Late"/>
    <s v="Missed"/>
    <s v="On-time"/>
    <m/>
    <m/>
    <m/>
    <m/>
  </r>
  <r>
    <s v="CUST0104"/>
    <n v="43"/>
    <x v="38"/>
    <x v="9"/>
    <x v="100"/>
    <n v="1"/>
    <x v="0"/>
    <n v="60628"/>
    <n v="0.23433152098898799"/>
    <s v="employed"/>
    <n v="16"/>
    <s v="Student"/>
    <s v="New York"/>
    <s v="Late"/>
    <s v="On-time"/>
    <s v="Late"/>
    <s v="Late"/>
    <s v="Missed"/>
    <s v="Missed"/>
    <m/>
    <m/>
    <m/>
    <m/>
  </r>
  <r>
    <s v="CUST0105"/>
    <n v="42"/>
    <x v="84"/>
    <x v="48"/>
    <x v="101"/>
    <n v="2"/>
    <x v="0"/>
    <n v="45776"/>
    <n v="0.17670636460091599"/>
    <s v="Self-employed"/>
    <n v="15"/>
    <s v="Gold"/>
    <s v="New York"/>
    <s v="Missed"/>
    <s v="On-time"/>
    <s v="Missed"/>
    <s v="On-time"/>
    <s v="On-time"/>
    <s v="Late"/>
    <m/>
    <m/>
    <m/>
    <m/>
  </r>
  <r>
    <s v="CUST0106"/>
    <n v="62"/>
    <x v="33"/>
    <x v="10"/>
    <x v="102"/>
    <n v="6"/>
    <x v="0"/>
    <n v="30443"/>
    <n v="0.199682016907719"/>
    <s v="retired"/>
    <n v="14"/>
    <s v="Standard"/>
    <s v="New York"/>
    <s v="Late"/>
    <s v="Late"/>
    <s v="Late"/>
    <s v="Missed"/>
    <s v="Missed"/>
    <s v="Missed"/>
    <m/>
    <m/>
    <m/>
    <m/>
  </r>
  <r>
    <s v="CUST0107"/>
    <n v="58"/>
    <x v="13"/>
    <x v="49"/>
    <x v="103"/>
    <n v="0"/>
    <x v="0"/>
    <n v="42556"/>
    <n v="0.31199506801587401"/>
    <s v="employed"/>
    <n v="7"/>
    <s v="Gold"/>
    <s v="Houston"/>
    <s v="On-time"/>
    <s v="On-time"/>
    <s v="Late"/>
    <s v="Late"/>
    <s v="Late"/>
    <s v="On-time"/>
    <m/>
    <m/>
    <m/>
    <m/>
  </r>
  <r>
    <s v="CUST0108"/>
    <n v="46"/>
    <x v="85"/>
    <x v="76"/>
    <x v="104"/>
    <n v="0"/>
    <x v="0"/>
    <n v="94000"/>
    <n v="0.25988357943888202"/>
    <s v="Self-employed"/>
    <n v="18"/>
    <s v="Gold"/>
    <s v="Los Angeles"/>
    <s v="Missed"/>
    <s v="Missed"/>
    <s v="Late"/>
    <s v="On-time"/>
    <s v="On-time"/>
    <s v="Missed"/>
    <m/>
    <m/>
    <m/>
    <m/>
  </r>
  <r>
    <s v="CUST0109"/>
    <n v="32"/>
    <x v="86"/>
    <x v="6"/>
    <x v="105"/>
    <n v="6"/>
    <x v="0"/>
    <n v="29584"/>
    <n v="0.469949445267134"/>
    <s v="employed"/>
    <n v="7"/>
    <s v="Standard"/>
    <s v="Phoenix"/>
    <s v="Missed"/>
    <s v="Late"/>
    <s v="On-time"/>
    <s v="Late"/>
    <s v="Missed"/>
    <s v="Late"/>
    <m/>
    <m/>
    <m/>
    <m/>
  </r>
  <r>
    <s v="CUST0110"/>
    <n v="62"/>
    <x v="87"/>
    <x v="28"/>
    <x v="106"/>
    <n v="5"/>
    <x v="0"/>
    <n v="64950"/>
    <n v="0.40780033727074699"/>
    <s v="employed"/>
    <n v="17"/>
    <s v="Standard"/>
    <s v="Houston"/>
    <s v="Missed"/>
    <s v="Missed"/>
    <s v="On-time"/>
    <s v="Late"/>
    <s v="On-time"/>
    <s v="On-time"/>
    <m/>
    <m/>
    <m/>
    <m/>
  </r>
  <r>
    <s v="CUST0111"/>
    <n v="18"/>
    <x v="88"/>
    <x v="91"/>
    <x v="107"/>
    <n v="5"/>
    <x v="0"/>
    <n v="76774"/>
    <n v="0.23911160621896599"/>
    <s v="Self-employed"/>
    <n v="15"/>
    <s v="Platinum"/>
    <s v="Los Angeles"/>
    <s v="Missed"/>
    <s v="Missed"/>
    <s v="On-time"/>
    <s v="Late"/>
    <s v="Late"/>
    <s v="Late"/>
    <m/>
    <m/>
    <m/>
    <m/>
  </r>
  <r>
    <s v="CUST0112"/>
    <n v="42"/>
    <x v="89"/>
    <x v="92"/>
    <x v="108"/>
    <n v="5"/>
    <x v="0"/>
    <n v="8828"/>
    <n v="0.20831821582594801"/>
    <s v="Self-employed"/>
    <n v="19"/>
    <s v="Platinum"/>
    <s v="Los Angeles"/>
    <s v="Late"/>
    <s v="Missed"/>
    <s v="Late"/>
    <s v="Late"/>
    <s v="Late"/>
    <s v="On-time"/>
    <m/>
    <m/>
    <m/>
    <m/>
  </r>
  <r>
    <s v="CUST0113"/>
    <n v="24"/>
    <x v="42"/>
    <x v="55"/>
    <x v="109"/>
    <n v="0"/>
    <x v="1"/>
    <n v="692"/>
    <n v="0.43826419356641899"/>
    <s v="employed"/>
    <n v="18"/>
    <s v="Standard"/>
    <s v="Houston"/>
    <s v="Missed"/>
    <s v="Late"/>
    <s v="Late"/>
    <s v="Late"/>
    <s v="Missed"/>
    <s v="On-time"/>
    <m/>
    <m/>
    <m/>
    <m/>
  </r>
  <r>
    <s v="CUST0114"/>
    <n v="26"/>
    <x v="38"/>
    <x v="93"/>
    <x v="110"/>
    <n v="1"/>
    <x v="0"/>
    <n v="77743"/>
    <n v="0.46600424894834802"/>
    <s v="employed"/>
    <n v="9"/>
    <s v="Student"/>
    <s v="Houston"/>
    <s v="On-time"/>
    <s v="Late"/>
    <s v="Late"/>
    <s v="Late"/>
    <s v="On-time"/>
    <s v="On-time"/>
    <m/>
    <m/>
    <m/>
    <m/>
  </r>
  <r>
    <s v="CUST0115"/>
    <n v="41"/>
    <x v="90"/>
    <x v="54"/>
    <x v="111"/>
    <n v="0"/>
    <x v="0"/>
    <n v="32588"/>
    <n v="0.1"/>
    <s v="Self-employed"/>
    <n v="16"/>
    <s v="Student"/>
    <s v="Los Angeles"/>
    <s v="On-time"/>
    <s v="On-time"/>
    <s v="Missed"/>
    <s v="Late"/>
    <s v="Missed"/>
    <s v="Late"/>
    <m/>
    <m/>
    <m/>
    <m/>
  </r>
  <r>
    <s v="CUST0116"/>
    <n v="18"/>
    <x v="91"/>
    <x v="94"/>
    <x v="112"/>
    <n v="4"/>
    <x v="0"/>
    <n v="45776"/>
    <n v="0.30928576239716998"/>
    <s v="retired"/>
    <n v="12"/>
    <s v="Gold"/>
    <s v="Los Angeles"/>
    <s v="On-time"/>
    <s v="Late"/>
    <s v="Late"/>
    <s v="Late"/>
    <s v="Missed"/>
    <s v="Late"/>
    <m/>
    <m/>
    <m/>
    <m/>
  </r>
  <r>
    <s v="CUST0117"/>
    <n v="61"/>
    <x v="92"/>
    <x v="95"/>
    <x v="113"/>
    <n v="3"/>
    <x v="1"/>
    <n v="55980"/>
    <n v="0.27481216921032697"/>
    <s v="Unemployed"/>
    <n v="12"/>
    <s v="Business"/>
    <s v="Los Angeles"/>
    <s v="Late"/>
    <s v="Late"/>
    <s v="Missed"/>
    <s v="Missed"/>
    <s v="Missed"/>
    <s v="Missed"/>
    <m/>
    <m/>
    <m/>
    <m/>
  </r>
  <r>
    <s v="CUST0118"/>
    <n v="25"/>
    <x v="93"/>
    <x v="96"/>
    <x v="114"/>
    <n v="5"/>
    <x v="0"/>
    <n v="22510"/>
    <n v="0.36491201400599299"/>
    <s v="EMP"/>
    <n v="6"/>
    <s v="Gold"/>
    <s v="Houston"/>
    <s v="Late"/>
    <s v="Late"/>
    <s v="On-time"/>
    <s v="Late"/>
    <s v="On-time"/>
    <s v="Late"/>
    <m/>
    <m/>
    <m/>
    <m/>
  </r>
  <r>
    <s v="CUST0119"/>
    <n v="41"/>
    <x v="94"/>
    <x v="97"/>
    <x v="115"/>
    <n v="1"/>
    <x v="1"/>
    <n v="82909"/>
    <n v="0.49426681241615"/>
    <s v="employed"/>
    <n v="9"/>
    <s v="Gold"/>
    <s v="Los Angeles"/>
    <s v="On-time"/>
    <s v="Late"/>
    <s v="On-time"/>
    <s v="Missed"/>
    <s v="Late"/>
    <s v="Missed"/>
    <m/>
    <m/>
    <m/>
    <m/>
  </r>
  <r>
    <s v="CUST0120"/>
    <n v="28"/>
    <x v="95"/>
    <x v="98"/>
    <x v="116"/>
    <n v="2"/>
    <x v="0"/>
    <n v="30509"/>
    <n v="0.25159429806722"/>
    <s v="employed"/>
    <n v="1"/>
    <s v="Business"/>
    <s v="New York"/>
    <s v="Late"/>
    <s v="Missed"/>
    <s v="Late"/>
    <s v="Late"/>
    <s v="On-time"/>
    <s v="Missed"/>
    <m/>
    <m/>
    <m/>
    <m/>
  </r>
  <r>
    <s v="CUST0121"/>
    <n v="68"/>
    <x v="96"/>
    <x v="99"/>
    <x v="117"/>
    <n v="2"/>
    <x v="0"/>
    <n v="45776"/>
    <n v="0.1"/>
    <s v="EMP"/>
    <n v="3"/>
    <s v="Standard"/>
    <s v="Houston"/>
    <s v="Missed"/>
    <s v="On-time"/>
    <s v="Missed"/>
    <s v="On-time"/>
    <s v="On-time"/>
    <s v="Missed"/>
    <m/>
    <m/>
    <m/>
    <m/>
  </r>
  <r>
    <s v="CUST0122"/>
    <n v="34"/>
    <x v="97"/>
    <x v="6"/>
    <x v="118"/>
    <n v="3"/>
    <x v="0"/>
    <n v="35598"/>
    <n v="0.35790077001492598"/>
    <s v="employed"/>
    <n v="5"/>
    <s v="Student"/>
    <s v="New York"/>
    <s v="Late"/>
    <s v="On-time"/>
    <s v="On-time"/>
    <s v="Late"/>
    <s v="Missed"/>
    <s v="On-time"/>
    <m/>
    <m/>
    <m/>
    <m/>
  </r>
  <r>
    <s v="CUST0123"/>
    <n v="25"/>
    <x v="98"/>
    <x v="100"/>
    <x v="119"/>
    <n v="1"/>
    <x v="1"/>
    <n v="71588"/>
    <n v="0.43899640686042002"/>
    <s v="EMP"/>
    <n v="17"/>
    <s v="Gold"/>
    <s v="Chicago"/>
    <s v="On-time"/>
    <s v="On-time"/>
    <s v="Missed"/>
    <s v="Missed"/>
    <s v="On-time"/>
    <s v="Missed"/>
    <m/>
    <m/>
    <m/>
    <m/>
  </r>
  <r>
    <s v="CUST0124"/>
    <n v="52"/>
    <x v="99"/>
    <x v="101"/>
    <x v="120"/>
    <n v="0"/>
    <x v="0"/>
    <n v="36955"/>
    <n v="0.26962402184802198"/>
    <s v="Self-employed"/>
    <n v="5"/>
    <s v="Business"/>
    <s v="Houston"/>
    <s v="Late"/>
    <s v="On-time"/>
    <s v="On-time"/>
    <s v="Late"/>
    <s v="On-time"/>
    <s v="Late"/>
    <m/>
    <m/>
    <m/>
    <m/>
  </r>
  <r>
    <s v="CUST0125"/>
    <n v="52"/>
    <x v="20"/>
    <x v="73"/>
    <x v="121"/>
    <n v="0"/>
    <x v="1"/>
    <n v="45776"/>
    <n v="0.22949625198603299"/>
    <s v="EMP"/>
    <n v="16"/>
    <s v="Platinum"/>
    <s v="Chicago"/>
    <s v="On-time"/>
    <s v="On-time"/>
    <s v="Late"/>
    <s v="On-time"/>
    <s v="Missed"/>
    <s v="Missed"/>
    <m/>
    <m/>
    <m/>
    <m/>
  </r>
  <r>
    <s v="CUST0126"/>
    <n v="50"/>
    <x v="100"/>
    <x v="102"/>
    <x v="122"/>
    <n v="4"/>
    <x v="1"/>
    <n v="89537"/>
    <n v="0.25627405946222998"/>
    <s v="employed"/>
    <n v="13"/>
    <s v="Gold"/>
    <s v="Los Angeles"/>
    <s v="On-time"/>
    <s v="On-time"/>
    <s v="Missed"/>
    <s v="Late"/>
    <s v="On-time"/>
    <s v="Late"/>
    <m/>
    <m/>
    <m/>
    <m/>
  </r>
  <r>
    <s v="CUST0127"/>
    <n v="22"/>
    <x v="101"/>
    <x v="100"/>
    <x v="123"/>
    <n v="4"/>
    <x v="0"/>
    <n v="16034"/>
    <n v="0.38502053671312297"/>
    <s v="EMP"/>
    <n v="10"/>
    <s v="Student"/>
    <s v="Los Angeles"/>
    <s v="Late"/>
    <s v="On-time"/>
    <s v="Late"/>
    <s v="Missed"/>
    <s v="Late"/>
    <s v="On-time"/>
    <m/>
    <m/>
    <m/>
    <m/>
  </r>
  <r>
    <s v="CUST0128"/>
    <n v="59"/>
    <x v="102"/>
    <x v="103"/>
    <x v="124"/>
    <n v="0"/>
    <x v="0"/>
    <n v="89537"/>
    <n v="0.25455390587150101"/>
    <s v="Unemployed"/>
    <n v="18"/>
    <s v="Standard"/>
    <s v="Phoenix"/>
    <s v="On-time"/>
    <s v="Late"/>
    <s v="Late"/>
    <s v="Missed"/>
    <s v="Missed"/>
    <s v="Late"/>
    <m/>
    <m/>
    <m/>
    <m/>
  </r>
  <r>
    <s v="CUST0129"/>
    <n v="56"/>
    <x v="20"/>
    <x v="104"/>
    <x v="125"/>
    <n v="2"/>
    <x v="1"/>
    <n v="96507"/>
    <n v="0.33287603003428401"/>
    <s v="retired"/>
    <n v="1"/>
    <s v="Gold"/>
    <s v="Los Angeles"/>
    <s v="Late"/>
    <s v="Missed"/>
    <s v="On-time"/>
    <s v="Missed"/>
    <s v="Missed"/>
    <s v="Missed"/>
    <m/>
    <m/>
    <m/>
    <m/>
  </r>
  <r>
    <s v="CUST0130"/>
    <n v="58"/>
    <x v="103"/>
    <x v="105"/>
    <x v="126"/>
    <n v="5"/>
    <x v="0"/>
    <n v="76445"/>
    <n v="0.302780291573994"/>
    <s v="Self-employed"/>
    <n v="2"/>
    <s v="Gold"/>
    <s v="Chicago"/>
    <s v="On-time"/>
    <s v="On-time"/>
    <s v="Missed"/>
    <s v="Missed"/>
    <s v="Late"/>
    <s v="Missed"/>
    <m/>
    <m/>
    <m/>
    <m/>
  </r>
  <r>
    <s v="CUST0131"/>
    <n v="45"/>
    <x v="104"/>
    <x v="106"/>
    <x v="127"/>
    <n v="2"/>
    <x v="0"/>
    <n v="20052"/>
    <n v="0.29246203875772298"/>
    <s v="EMP"/>
    <n v="10"/>
    <s v="Business"/>
    <s v="Los Angeles"/>
    <s v="On-time"/>
    <s v="On-time"/>
    <s v="On-time"/>
    <s v="On-time"/>
    <s v="Missed"/>
    <s v="Late"/>
    <m/>
    <m/>
    <m/>
    <m/>
  </r>
  <r>
    <s v="CUST0132"/>
    <n v="24"/>
    <x v="105"/>
    <x v="107"/>
    <x v="128"/>
    <n v="4"/>
    <x v="0"/>
    <n v="36913"/>
    <n v="0.37012923267522302"/>
    <s v="employed"/>
    <n v="5"/>
    <s v="Platinum"/>
    <s v="Houston"/>
    <s v="Late"/>
    <s v="Late"/>
    <s v="Missed"/>
    <s v="Late"/>
    <s v="Missed"/>
    <s v="On-time"/>
    <m/>
    <m/>
    <m/>
    <m/>
  </r>
  <r>
    <s v="CUST0133"/>
    <n v="26"/>
    <x v="106"/>
    <x v="73"/>
    <x v="129"/>
    <n v="3"/>
    <x v="0"/>
    <n v="77209"/>
    <n v="0.25214201001358"/>
    <s v="retired"/>
    <n v="13"/>
    <s v="Platinum"/>
    <s v="Los Angeles"/>
    <s v="Missed"/>
    <s v="Late"/>
    <s v="Missed"/>
    <s v="Late"/>
    <s v="Missed"/>
    <s v="Late"/>
    <m/>
    <m/>
    <m/>
    <m/>
  </r>
  <r>
    <s v="CUST0134"/>
    <n v="25"/>
    <x v="107"/>
    <x v="108"/>
    <x v="130"/>
    <n v="0"/>
    <x v="1"/>
    <n v="94363"/>
    <n v="0.25694134398177199"/>
    <s v="Self-employed"/>
    <n v="18"/>
    <s v="Standard"/>
    <s v="Phoenix"/>
    <s v="Missed"/>
    <s v="On-time"/>
    <s v="On-time"/>
    <s v="Missed"/>
    <s v="Missed"/>
    <s v="Missed"/>
    <m/>
    <m/>
    <m/>
    <m/>
  </r>
  <r>
    <s v="CUST0135"/>
    <n v="29"/>
    <x v="108"/>
    <x v="109"/>
    <x v="131"/>
    <n v="4"/>
    <x v="0"/>
    <n v="96056"/>
    <n v="0.379760284999975"/>
    <s v="employed"/>
    <n v="15"/>
    <s v="Student"/>
    <s v="Los Angeles"/>
    <s v="Late"/>
    <s v="On-time"/>
    <s v="Late"/>
    <s v="On-time"/>
    <s v="Missed"/>
    <s v="Late"/>
    <m/>
    <m/>
    <m/>
    <m/>
  </r>
  <r>
    <s v="CUST0136"/>
    <n v="51"/>
    <x v="109"/>
    <x v="110"/>
    <x v="132"/>
    <n v="4"/>
    <x v="0"/>
    <n v="20081"/>
    <n v="0.201307467583134"/>
    <s v="employed"/>
    <n v="6"/>
    <s v="Standard"/>
    <s v="Chicago"/>
    <s v="On-time"/>
    <s v="On-time"/>
    <s v="Missed"/>
    <s v="Missed"/>
    <s v="Missed"/>
    <s v="Late"/>
    <m/>
    <m/>
    <m/>
    <m/>
  </r>
  <r>
    <s v="CUST0137"/>
    <n v="50"/>
    <x v="110"/>
    <x v="111"/>
    <x v="133"/>
    <n v="5"/>
    <x v="0"/>
    <n v="28730"/>
    <n v="0.21197798091776701"/>
    <s v="Unemployed"/>
    <n v="7"/>
    <s v="Gold"/>
    <s v="Chicago"/>
    <s v="Missed"/>
    <s v="Missed"/>
    <s v="On-time"/>
    <s v="Missed"/>
    <s v="On-time"/>
    <s v="On-time"/>
    <m/>
    <m/>
    <m/>
    <m/>
  </r>
  <r>
    <s v="CUST0138"/>
    <n v="65"/>
    <x v="111"/>
    <x v="112"/>
    <x v="134"/>
    <n v="0"/>
    <x v="0"/>
    <n v="85107"/>
    <n v="0.17396857086563999"/>
    <s v="employed"/>
    <n v="18"/>
    <s v="Gold"/>
    <s v="Los Angeles"/>
    <s v="Late"/>
    <s v="Late"/>
    <s v="Missed"/>
    <s v="Missed"/>
    <s v="On-time"/>
    <s v="On-time"/>
    <m/>
    <m/>
    <m/>
    <m/>
  </r>
  <r>
    <s v="CUST0139"/>
    <n v="72"/>
    <x v="90"/>
    <x v="113"/>
    <x v="135"/>
    <n v="5"/>
    <x v="1"/>
    <n v="42556"/>
    <n v="0.38490109132765499"/>
    <s v="Unemployed"/>
    <n v="19"/>
    <s v="Platinum"/>
    <s v="Chicago"/>
    <s v="Missed"/>
    <s v="On-time"/>
    <s v="On-time"/>
    <s v="Late"/>
    <s v="Late"/>
    <s v="On-time"/>
    <m/>
    <m/>
    <m/>
    <m/>
  </r>
  <r>
    <s v="CUST0140"/>
    <n v="40"/>
    <x v="112"/>
    <x v="114"/>
    <x v="136"/>
    <n v="0"/>
    <x v="0"/>
    <n v="16693"/>
    <n v="0.28947630319187301"/>
    <s v="EMP"/>
    <n v="15"/>
    <s v="Student"/>
    <s v="Chicago"/>
    <s v="On-time"/>
    <s v="On-time"/>
    <s v="On-time"/>
    <s v="Late"/>
    <s v="Late"/>
    <s v="On-time"/>
    <m/>
    <m/>
    <m/>
    <m/>
  </r>
  <r>
    <s v="CUST0141"/>
    <n v="41"/>
    <x v="113"/>
    <x v="66"/>
    <x v="137"/>
    <n v="5"/>
    <x v="0"/>
    <n v="10951"/>
    <n v="0.168638485392093"/>
    <s v="Self-employed"/>
    <n v="6"/>
    <s v="Business"/>
    <s v="Phoenix"/>
    <s v="On-time"/>
    <s v="Late"/>
    <s v="Missed"/>
    <s v="On-time"/>
    <s v="Missed"/>
    <s v="On-time"/>
    <m/>
    <m/>
    <m/>
    <m/>
  </r>
  <r>
    <s v="CUST0142"/>
    <n v="54"/>
    <x v="114"/>
    <x v="13"/>
    <x v="138"/>
    <n v="2"/>
    <x v="0"/>
    <n v="76861"/>
    <n v="0.38538085623090601"/>
    <s v="EMP"/>
    <n v="8"/>
    <s v="Student"/>
    <s v="Houston"/>
    <s v="Late"/>
    <s v="On-time"/>
    <s v="Missed"/>
    <s v="Late"/>
    <s v="Missed"/>
    <s v="Late"/>
    <m/>
    <m/>
    <m/>
    <m/>
  </r>
  <r>
    <s v="CUST0143"/>
    <n v="52"/>
    <x v="84"/>
    <x v="16"/>
    <x v="139"/>
    <n v="3"/>
    <x v="0"/>
    <n v="19977"/>
    <n v="0.24444578384245599"/>
    <s v="Unemployed"/>
    <n v="12"/>
    <s v="Gold"/>
    <s v="Phoenix"/>
    <s v="On-time"/>
    <s v="Late"/>
    <s v="On-time"/>
    <s v="Missed"/>
    <s v="On-time"/>
    <s v="Late"/>
    <m/>
    <m/>
    <m/>
    <m/>
  </r>
  <r>
    <s v="CUST0144"/>
    <n v="61"/>
    <x v="115"/>
    <x v="115"/>
    <x v="140"/>
    <n v="3"/>
    <x v="1"/>
    <n v="60348"/>
    <n v="0.21283219211631099"/>
    <s v="Unemployed"/>
    <n v="0"/>
    <s v="Business"/>
    <s v="New York"/>
    <s v="On-time"/>
    <s v="Late"/>
    <s v="Missed"/>
    <s v="On-time"/>
    <s v="On-time"/>
    <s v="On-time"/>
    <m/>
    <m/>
    <m/>
    <m/>
  </r>
  <r>
    <s v="CUST0145"/>
    <n v="57"/>
    <x v="38"/>
    <x v="116"/>
    <x v="141"/>
    <n v="0"/>
    <x v="0"/>
    <n v="3494"/>
    <n v="0.28043214411230399"/>
    <s v="Unemployed"/>
    <n v="7"/>
    <s v="Student"/>
    <s v="Phoenix"/>
    <s v="On-time"/>
    <s v="Missed"/>
    <s v="On-time"/>
    <s v="Missed"/>
    <s v="Late"/>
    <s v="On-time"/>
    <m/>
    <m/>
    <m/>
    <m/>
  </r>
  <r>
    <s v="CUST0146"/>
    <n v="39"/>
    <x v="116"/>
    <x v="117"/>
    <x v="142"/>
    <n v="1"/>
    <x v="0"/>
    <n v="17913"/>
    <n v="0.44787236094678901"/>
    <s v="retired"/>
    <n v="3"/>
    <s v="Student"/>
    <s v="Los Angeles"/>
    <s v="Missed"/>
    <s v="Late"/>
    <s v="On-time"/>
    <s v="Late"/>
    <s v="Late"/>
    <s v="Missed"/>
    <m/>
    <m/>
    <m/>
    <m/>
  </r>
  <r>
    <s v="CUST0147"/>
    <n v="44"/>
    <x v="117"/>
    <x v="118"/>
    <x v="143"/>
    <n v="6"/>
    <x v="0"/>
    <n v="10942"/>
    <n v="0.260503780350342"/>
    <s v="employed"/>
    <n v="2"/>
    <s v="Business"/>
    <s v="Houston"/>
    <s v="Late"/>
    <s v="On-time"/>
    <s v="Late"/>
    <s v="Missed"/>
    <s v="Late"/>
    <s v="On-time"/>
    <m/>
    <m/>
    <m/>
    <m/>
  </r>
  <r>
    <s v="CUST0148"/>
    <n v="52"/>
    <x v="99"/>
    <x v="54"/>
    <x v="144"/>
    <n v="4"/>
    <x v="1"/>
    <n v="5539"/>
    <n v="0.35753388641155798"/>
    <s v="Self-employed"/>
    <n v="2"/>
    <s v="Gold"/>
    <s v="Los Angeles"/>
    <s v="Missed"/>
    <s v="Late"/>
    <s v="Missed"/>
    <s v="Late"/>
    <s v="Late"/>
    <s v="Late"/>
    <m/>
    <m/>
    <m/>
    <m/>
  </r>
  <r>
    <s v="CUST0149"/>
    <n v="18"/>
    <x v="118"/>
    <x v="27"/>
    <x v="145"/>
    <n v="4"/>
    <x v="0"/>
    <n v="91432"/>
    <n v="0.37270800204509502"/>
    <s v="EMP"/>
    <n v="12"/>
    <s v="Student"/>
    <s v="New York"/>
    <s v="On-time"/>
    <s v="On-time"/>
    <s v="On-time"/>
    <s v="Late"/>
    <s v="On-time"/>
    <s v="On-time"/>
    <m/>
    <m/>
    <m/>
    <m/>
  </r>
  <r>
    <s v="CUST0150"/>
    <n v="52"/>
    <x v="119"/>
    <x v="119"/>
    <x v="146"/>
    <n v="0"/>
    <x v="0"/>
    <n v="19796"/>
    <n v="0.34432732980064001"/>
    <s v="EMP"/>
    <n v="7"/>
    <s v="Business"/>
    <s v="Houston"/>
    <s v="Late"/>
    <s v="On-time"/>
    <s v="On-time"/>
    <s v="Late"/>
    <s v="On-time"/>
    <s v="Late"/>
    <m/>
    <m/>
    <m/>
    <m/>
  </r>
  <r>
    <s v="CUST0151"/>
    <n v="54"/>
    <x v="120"/>
    <x v="120"/>
    <x v="147"/>
    <n v="5"/>
    <x v="0"/>
    <n v="95276"/>
    <n v="0.42710716496742601"/>
    <s v="employed"/>
    <n v="6"/>
    <s v="Gold"/>
    <s v="Chicago"/>
    <s v="On-time"/>
    <s v="Late"/>
    <s v="Late"/>
    <s v="Missed"/>
    <s v="Late"/>
    <s v="Missed"/>
    <m/>
    <m/>
    <m/>
    <m/>
  </r>
  <r>
    <s v="CUST0152"/>
    <n v="64"/>
    <x v="79"/>
    <x v="121"/>
    <x v="148"/>
    <n v="1"/>
    <x v="1"/>
    <n v="6118"/>
    <n v="0.22928839953677199"/>
    <s v="Unemployed"/>
    <n v="0"/>
    <s v="Business"/>
    <s v="Phoenix"/>
    <s v="On-time"/>
    <s v="Missed"/>
    <s v="On-time"/>
    <s v="Late"/>
    <s v="On-time"/>
    <s v="Late"/>
    <m/>
    <m/>
    <m/>
    <m/>
  </r>
  <r>
    <s v="CUST0153"/>
    <n v="31"/>
    <x v="121"/>
    <x v="43"/>
    <x v="149"/>
    <n v="2"/>
    <x v="0"/>
    <n v="34897"/>
    <n v="0.19566651569496599"/>
    <s v="Unemployed"/>
    <n v="15"/>
    <s v="Business"/>
    <s v="Los Angeles"/>
    <s v="On-time"/>
    <s v="Late"/>
    <s v="Missed"/>
    <s v="On-time"/>
    <s v="Missed"/>
    <s v="Missed"/>
    <m/>
    <m/>
    <m/>
    <m/>
  </r>
  <r>
    <s v="CUST0154"/>
    <n v="20"/>
    <x v="38"/>
    <x v="122"/>
    <x v="150"/>
    <n v="5"/>
    <x v="0"/>
    <n v="39006"/>
    <n v="0.19370333439750001"/>
    <s v="Unemployed"/>
    <n v="5"/>
    <s v="Student"/>
    <s v="New York"/>
    <s v="On-time"/>
    <s v="Missed"/>
    <s v="Missed"/>
    <s v="Late"/>
    <s v="Late"/>
    <s v="Missed"/>
    <m/>
    <m/>
    <m/>
    <m/>
  </r>
  <r>
    <s v="CUST0155"/>
    <n v="18"/>
    <x v="122"/>
    <x v="16"/>
    <x v="151"/>
    <n v="5"/>
    <x v="0"/>
    <n v="36342"/>
    <n v="0.28555315847002"/>
    <s v="EMP"/>
    <n v="6"/>
    <s v="Gold"/>
    <s v="Chicago"/>
    <s v="Missed"/>
    <s v="Missed"/>
    <s v="Missed"/>
    <s v="Late"/>
    <s v="Late"/>
    <s v="Late"/>
    <m/>
    <m/>
    <m/>
    <m/>
  </r>
  <r>
    <s v="CUST0156"/>
    <n v="22"/>
    <x v="123"/>
    <x v="50"/>
    <x v="152"/>
    <n v="0"/>
    <x v="0"/>
    <n v="44454"/>
    <n v="0.20529533421594701"/>
    <s v="employed"/>
    <n v="11"/>
    <s v="Student"/>
    <s v="Phoenix"/>
    <s v="Late"/>
    <s v="Missed"/>
    <s v="On-time"/>
    <s v="Late"/>
    <s v="Missed"/>
    <s v="Missed"/>
    <m/>
    <m/>
    <m/>
    <m/>
  </r>
  <r>
    <s v="CUST0157"/>
    <n v="43"/>
    <x v="61"/>
    <x v="16"/>
    <x v="153"/>
    <n v="0"/>
    <x v="0"/>
    <n v="92381"/>
    <n v="0.31475409118653203"/>
    <s v="employed"/>
    <n v="8"/>
    <s v="Standard"/>
    <s v="Chicago"/>
    <s v="On-time"/>
    <s v="Late"/>
    <s v="Late"/>
    <s v="Late"/>
    <s v="Late"/>
    <s v="Missed"/>
    <m/>
    <m/>
    <m/>
    <m/>
  </r>
  <r>
    <s v="CUST0158"/>
    <n v="72"/>
    <x v="124"/>
    <x v="123"/>
    <x v="154"/>
    <n v="4"/>
    <x v="1"/>
    <n v="95267"/>
    <n v="0.30769884197248898"/>
    <s v="retired"/>
    <n v="10"/>
    <s v="Standard"/>
    <s v="Phoenix"/>
    <s v="On-time"/>
    <s v="On-time"/>
    <s v="Late"/>
    <s v="Late"/>
    <s v="Missed"/>
    <s v="Missed"/>
    <m/>
    <m/>
    <m/>
    <m/>
  </r>
  <r>
    <s v="CUST0159"/>
    <n v="31"/>
    <x v="118"/>
    <x v="33"/>
    <x v="155"/>
    <n v="0"/>
    <x v="0"/>
    <n v="71791"/>
    <n v="0.40185733031860399"/>
    <s v="Self-employed"/>
    <n v="9"/>
    <s v="Gold"/>
    <s v="Houston"/>
    <s v="Late"/>
    <s v="On-time"/>
    <s v="On-time"/>
    <s v="On-time"/>
    <s v="Missed"/>
    <s v="On-time"/>
    <m/>
    <m/>
    <m/>
    <m/>
  </r>
  <r>
    <s v="CUST0160"/>
    <n v="56"/>
    <x v="125"/>
    <x v="124"/>
    <x v="156"/>
    <n v="0"/>
    <x v="0"/>
    <n v="43927"/>
    <n v="0.32911443082360398"/>
    <s v="employed"/>
    <n v="0"/>
    <s v="Business"/>
    <s v="Chicago"/>
    <s v="On-time"/>
    <s v="Late"/>
    <s v="Missed"/>
    <s v="On-time"/>
    <s v="Late"/>
    <s v="On-time"/>
    <m/>
    <m/>
    <m/>
    <m/>
  </r>
  <r>
    <s v="CUST0161"/>
    <n v="44"/>
    <x v="126"/>
    <x v="125"/>
    <x v="157"/>
    <n v="0"/>
    <x v="0"/>
    <n v="48397"/>
    <n v="0.25838481441385502"/>
    <s v="EMP"/>
    <n v="17"/>
    <s v="Student"/>
    <s v="Chicago"/>
    <s v="On-time"/>
    <s v="Late"/>
    <s v="Missed"/>
    <s v="On-time"/>
    <s v="On-time"/>
    <s v="Late"/>
    <m/>
    <m/>
    <m/>
    <m/>
  </r>
  <r>
    <s v="CUST0162"/>
    <n v="26"/>
    <x v="26"/>
    <x v="30"/>
    <x v="158"/>
    <n v="4"/>
    <x v="0"/>
    <n v="96485"/>
    <n v="0.34108492044326799"/>
    <s v="retired"/>
    <n v="3"/>
    <s v="Student"/>
    <s v="Chicago"/>
    <s v="Late"/>
    <s v="Missed"/>
    <s v="Missed"/>
    <s v="Late"/>
    <s v="On-time"/>
    <s v="Late"/>
    <m/>
    <m/>
    <m/>
    <m/>
  </r>
  <r>
    <s v="CUST0163"/>
    <n v="32"/>
    <x v="122"/>
    <x v="113"/>
    <x v="159"/>
    <n v="2"/>
    <x v="0"/>
    <n v="26000"/>
    <n v="0.19698059801020501"/>
    <s v="retired"/>
    <n v="4"/>
    <s v="Gold"/>
    <s v="Houston"/>
    <s v="Missed"/>
    <s v="Missed"/>
    <s v="On-time"/>
    <s v="Late"/>
    <s v="Late"/>
    <s v="Late"/>
    <m/>
    <m/>
    <m/>
    <m/>
  </r>
  <r>
    <s v="CUST0164"/>
    <n v="32"/>
    <x v="127"/>
    <x v="126"/>
    <x v="160"/>
    <n v="2"/>
    <x v="1"/>
    <n v="14417"/>
    <n v="0.29618593119756798"/>
    <s v="retired"/>
    <n v="8"/>
    <s v="Gold"/>
    <s v="New York"/>
    <s v="Missed"/>
    <s v="Missed"/>
    <s v="On-time"/>
    <s v="Missed"/>
    <s v="On-time"/>
    <s v="On-time"/>
    <m/>
    <m/>
    <m/>
    <m/>
  </r>
  <r>
    <s v="CUST0165"/>
    <n v="43"/>
    <x v="66"/>
    <x v="127"/>
    <x v="161"/>
    <n v="6"/>
    <x v="0"/>
    <n v="45776"/>
    <n v="0.33194012335955803"/>
    <s v="Unemployed"/>
    <n v="16"/>
    <s v="Standard"/>
    <s v="Phoenix"/>
    <s v="Missed"/>
    <s v="Late"/>
    <s v="Late"/>
    <s v="Missed"/>
    <s v="Missed"/>
    <s v="Late"/>
    <m/>
    <m/>
    <m/>
    <m/>
  </r>
  <r>
    <s v="CUST0166"/>
    <n v="59"/>
    <x v="1"/>
    <x v="128"/>
    <x v="162"/>
    <n v="6"/>
    <x v="0"/>
    <n v="50989"/>
    <n v="0.31293175981501198"/>
    <s v="Self-employed"/>
    <n v="2"/>
    <s v="Platinum"/>
    <s v="Chicago"/>
    <s v="Missed"/>
    <s v="Missed"/>
    <s v="Late"/>
    <s v="On-time"/>
    <s v="Late"/>
    <s v="Missed"/>
    <m/>
    <m/>
    <m/>
    <m/>
  </r>
  <r>
    <s v="CUST0167"/>
    <n v="30"/>
    <x v="128"/>
    <x v="120"/>
    <x v="163"/>
    <n v="0"/>
    <x v="0"/>
    <n v="85107"/>
    <n v="0.34150650949359801"/>
    <s v="EMP"/>
    <n v="15"/>
    <s v="Gold"/>
    <s v="Houston"/>
    <s v="On-time"/>
    <s v="On-time"/>
    <s v="Missed"/>
    <s v="Missed"/>
    <s v="Late"/>
    <s v="On-time"/>
    <m/>
    <m/>
    <m/>
    <m/>
  </r>
  <r>
    <s v="CUST0168"/>
    <n v="68"/>
    <x v="129"/>
    <x v="129"/>
    <x v="164"/>
    <n v="6"/>
    <x v="0"/>
    <n v="13761"/>
    <n v="0.23559539842871999"/>
    <s v="EMP"/>
    <n v="4"/>
    <s v="Platinum"/>
    <s v="New York"/>
    <s v="On-time"/>
    <s v="Late"/>
    <s v="Missed"/>
    <s v="Missed"/>
    <s v="On-time"/>
    <s v="Late"/>
    <m/>
    <m/>
    <m/>
    <m/>
  </r>
  <r>
    <s v="CUST0169"/>
    <n v="49"/>
    <x v="120"/>
    <x v="49"/>
    <x v="165"/>
    <n v="4"/>
    <x v="0"/>
    <n v="26549"/>
    <n v="0.41520314028095101"/>
    <s v="retired"/>
    <n v="15"/>
    <s v="Gold"/>
    <s v="Phoenix"/>
    <s v="On-time"/>
    <s v="Late"/>
    <s v="Missed"/>
    <s v="On-time"/>
    <s v="Missed"/>
    <s v="Late"/>
    <m/>
    <m/>
    <m/>
    <m/>
  </r>
  <r>
    <s v="CUST0170"/>
    <n v="56"/>
    <x v="130"/>
    <x v="106"/>
    <x v="166"/>
    <n v="2"/>
    <x v="0"/>
    <n v="5539"/>
    <n v="0.48221689493956998"/>
    <s v="EMP"/>
    <n v="2"/>
    <s v="Business"/>
    <s v="Houston"/>
    <s v="On-time"/>
    <s v="Missed"/>
    <s v="On-time"/>
    <s v="On-time"/>
    <s v="Late"/>
    <s v="On-time"/>
    <m/>
    <m/>
    <m/>
    <m/>
  </r>
  <r>
    <s v="CUST0171"/>
    <n v="66"/>
    <x v="131"/>
    <x v="130"/>
    <x v="167"/>
    <n v="5"/>
    <x v="1"/>
    <n v="67460"/>
    <n v="0.13973238551414"/>
    <s v="Self-employed"/>
    <n v="19"/>
    <s v="Business"/>
    <s v="Phoenix"/>
    <s v="Missed"/>
    <s v="Late"/>
    <s v="Late"/>
    <s v="Missed"/>
    <s v="Late"/>
    <s v="On-time"/>
    <m/>
    <m/>
    <m/>
    <m/>
  </r>
  <r>
    <s v="CUST0172"/>
    <n v="69"/>
    <x v="70"/>
    <x v="131"/>
    <x v="168"/>
    <n v="2"/>
    <x v="0"/>
    <n v="98999"/>
    <n v="0.17844020040457501"/>
    <s v="Self-employed"/>
    <n v="14"/>
    <s v="Standard"/>
    <s v="Chicago"/>
    <s v="Missed"/>
    <s v="On-time"/>
    <s v="On-time"/>
    <s v="Missed"/>
    <s v="On-time"/>
    <s v="Late"/>
    <m/>
    <m/>
    <m/>
    <m/>
  </r>
  <r>
    <s v="CUST0173"/>
    <n v="49"/>
    <x v="132"/>
    <x v="132"/>
    <x v="50"/>
    <n v="2"/>
    <x v="0"/>
    <n v="74403"/>
    <n v="0.30430830080243798"/>
    <s v="employed"/>
    <n v="2"/>
    <s v="Standard"/>
    <s v="New York"/>
    <s v="On-time"/>
    <s v="On-time"/>
    <s v="Missed"/>
    <s v="On-time"/>
    <s v="On-time"/>
    <s v="Late"/>
    <m/>
    <m/>
    <m/>
    <m/>
  </r>
  <r>
    <s v="CUST0174"/>
    <n v="21"/>
    <x v="133"/>
    <x v="48"/>
    <x v="169"/>
    <n v="4"/>
    <x v="1"/>
    <n v="31316"/>
    <n v="0.27434490194471201"/>
    <s v="employed"/>
    <n v="19"/>
    <s v="Platinum"/>
    <s v="Houston"/>
    <s v="On-time"/>
    <s v="Late"/>
    <s v="On-time"/>
    <s v="Missed"/>
    <s v="Missed"/>
    <s v="Missed"/>
    <m/>
    <m/>
    <m/>
    <m/>
  </r>
  <r>
    <s v="CUST0175"/>
    <n v="47"/>
    <x v="30"/>
    <x v="133"/>
    <x v="170"/>
    <n v="6"/>
    <x v="0"/>
    <n v="37445"/>
    <n v="0.48964124057727798"/>
    <s v="employed"/>
    <n v="13"/>
    <s v="Gold"/>
    <s v="New York"/>
    <s v="Late"/>
    <s v="Missed"/>
    <s v="Missed"/>
    <s v="Late"/>
    <s v="Late"/>
    <s v="Late"/>
    <m/>
    <m/>
    <m/>
    <m/>
  </r>
  <r>
    <s v="CUST0176"/>
    <n v="54"/>
    <x v="134"/>
    <x v="134"/>
    <x v="171"/>
    <n v="5"/>
    <x v="0"/>
    <n v="69963"/>
    <n v="0.321978432342446"/>
    <s v="Self-employed"/>
    <n v="15"/>
    <s v="Student"/>
    <s v="Chicago"/>
    <s v="On-time"/>
    <s v="Missed"/>
    <s v="Late"/>
    <s v="Missed"/>
    <s v="Missed"/>
    <s v="Late"/>
    <m/>
    <m/>
    <m/>
    <m/>
  </r>
  <r>
    <s v="CUST0177"/>
    <n v="40"/>
    <x v="15"/>
    <x v="49"/>
    <x v="172"/>
    <n v="4"/>
    <x v="0"/>
    <n v="68636"/>
    <n v="0.43925452537259502"/>
    <s v="Self-employed"/>
    <n v="16"/>
    <s v="Standard"/>
    <s v="New York"/>
    <s v="Late"/>
    <s v="On-time"/>
    <s v="Missed"/>
    <s v="On-time"/>
    <s v="Missed"/>
    <s v="Late"/>
    <m/>
    <m/>
    <m/>
    <m/>
  </r>
  <r>
    <s v="CUST0178"/>
    <n v="56"/>
    <x v="0"/>
    <x v="135"/>
    <x v="173"/>
    <n v="0"/>
    <x v="0"/>
    <n v="45776"/>
    <n v="0.1"/>
    <s v="Self-employed"/>
    <n v="19"/>
    <s v="Student"/>
    <s v="New York"/>
    <s v="Late"/>
    <s v="Late"/>
    <s v="Late"/>
    <s v="Late"/>
    <s v="On-time"/>
    <s v="On-time"/>
    <m/>
    <m/>
    <m/>
    <m/>
  </r>
  <r>
    <s v="CUST0179"/>
    <n v="62"/>
    <x v="135"/>
    <x v="136"/>
    <x v="174"/>
    <n v="3"/>
    <x v="0"/>
    <n v="11061"/>
    <n v="0.38141694833323497"/>
    <s v="employed"/>
    <n v="17"/>
    <s v="Student"/>
    <s v="Los Angeles"/>
    <s v="Late"/>
    <s v="Late"/>
    <s v="Missed"/>
    <s v="Late"/>
    <s v="On-time"/>
    <s v="Missed"/>
    <m/>
    <m/>
    <m/>
    <m/>
  </r>
  <r>
    <s v="CUST0180"/>
    <n v="32"/>
    <x v="136"/>
    <x v="36"/>
    <x v="175"/>
    <n v="2"/>
    <x v="0"/>
    <n v="74433"/>
    <n v="0.22844831807416699"/>
    <s v="retired"/>
    <n v="17"/>
    <s v="Gold"/>
    <s v="New York"/>
    <s v="Late"/>
    <s v="Late"/>
    <s v="On-time"/>
    <s v="Late"/>
    <s v="Missed"/>
    <s v="Missed"/>
    <m/>
    <m/>
    <m/>
    <m/>
  </r>
  <r>
    <s v="CUST0181"/>
    <n v="60"/>
    <x v="85"/>
    <x v="137"/>
    <x v="176"/>
    <n v="3"/>
    <x v="0"/>
    <n v="50183"/>
    <n v="0.22684574303803401"/>
    <s v="retired"/>
    <n v="13"/>
    <s v="Platinum"/>
    <s v="Phoenix"/>
    <s v="On-time"/>
    <s v="Missed"/>
    <s v="Late"/>
    <s v="Missed"/>
    <s v="On-time"/>
    <s v="Late"/>
    <m/>
    <m/>
    <m/>
    <m/>
  </r>
  <r>
    <s v="CUST0182"/>
    <n v="46"/>
    <x v="137"/>
    <x v="138"/>
    <x v="177"/>
    <n v="4"/>
    <x v="0"/>
    <n v="30549"/>
    <n v="0.275164197358787"/>
    <s v="EMP"/>
    <n v="17"/>
    <s v="Gold"/>
    <s v="Houston"/>
    <s v="Late"/>
    <s v="Late"/>
    <s v="On-time"/>
    <s v="Missed"/>
    <s v="Missed"/>
    <s v="On-time"/>
    <m/>
    <m/>
    <m/>
    <m/>
  </r>
  <r>
    <s v="CUST0183"/>
    <n v="53"/>
    <x v="138"/>
    <x v="46"/>
    <x v="178"/>
    <n v="4"/>
    <x v="0"/>
    <n v="69666"/>
    <n v="0.15754163602689"/>
    <s v="retired"/>
    <n v="14"/>
    <s v="Standard"/>
    <s v="Los Angeles"/>
    <s v="Late"/>
    <s v="Missed"/>
    <s v="Late"/>
    <s v="Missed"/>
    <s v="On-time"/>
    <s v="Missed"/>
    <m/>
    <m/>
    <m/>
    <m/>
  </r>
  <r>
    <s v="CUST0184"/>
    <n v="30"/>
    <x v="139"/>
    <x v="90"/>
    <x v="179"/>
    <n v="4"/>
    <x v="0"/>
    <n v="10951"/>
    <n v="0.34427855253218498"/>
    <s v="Unemployed"/>
    <n v="14"/>
    <s v="Student"/>
    <s v="Houston"/>
    <s v="Late"/>
    <s v="Late"/>
    <s v="Late"/>
    <s v="Missed"/>
    <s v="Late"/>
    <s v="Missed"/>
    <m/>
    <m/>
    <m/>
    <m/>
  </r>
  <r>
    <s v="CUST0185"/>
    <n v="49"/>
    <x v="140"/>
    <x v="139"/>
    <x v="180"/>
    <n v="3"/>
    <x v="0"/>
    <n v="47721"/>
    <n v="0.319071496671679"/>
    <s v="employed"/>
    <n v="5"/>
    <s v="Gold"/>
    <s v="Houston"/>
    <s v="On-time"/>
    <s v="Late"/>
    <s v="On-time"/>
    <s v="Missed"/>
    <s v="Late"/>
    <s v="Late"/>
    <m/>
    <m/>
    <m/>
    <m/>
  </r>
  <r>
    <s v="CUST0186"/>
    <n v="24"/>
    <x v="141"/>
    <x v="40"/>
    <x v="181"/>
    <n v="4"/>
    <x v="0"/>
    <n v="84521"/>
    <n v="0.32661922481872702"/>
    <s v="Self-employed"/>
    <n v="14"/>
    <s v="Gold"/>
    <s v="Chicago"/>
    <s v="On-time"/>
    <s v="On-time"/>
    <s v="Missed"/>
    <s v="Late"/>
    <s v="Late"/>
    <s v="On-time"/>
    <m/>
    <m/>
    <m/>
    <m/>
  </r>
  <r>
    <s v="CUST0187"/>
    <n v="68"/>
    <x v="142"/>
    <x v="42"/>
    <x v="182"/>
    <n v="0"/>
    <x v="0"/>
    <n v="31198"/>
    <n v="0.38870310221329002"/>
    <s v="retired"/>
    <n v="17"/>
    <s v="Gold"/>
    <s v="Chicago"/>
    <s v="Late"/>
    <s v="Late"/>
    <s v="Missed"/>
    <s v="On-time"/>
    <s v="On-time"/>
    <s v="On-time"/>
    <m/>
    <m/>
    <m/>
    <m/>
  </r>
  <r>
    <s v="CUST0188"/>
    <n v="39"/>
    <x v="38"/>
    <x v="54"/>
    <x v="50"/>
    <n v="4"/>
    <x v="1"/>
    <n v="7796"/>
    <n v="0.45147820461941501"/>
    <s v="employed"/>
    <n v="3"/>
    <s v="Standard"/>
    <s v="Los Angeles"/>
    <s v="Missed"/>
    <s v="On-time"/>
    <s v="Late"/>
    <s v="On-time"/>
    <s v="On-time"/>
    <s v="Late"/>
    <m/>
    <m/>
    <m/>
    <m/>
  </r>
  <r>
    <s v="CUST0189"/>
    <n v="45"/>
    <x v="143"/>
    <x v="99"/>
    <x v="183"/>
    <n v="1"/>
    <x v="0"/>
    <n v="64950"/>
    <n v="0.26362889509124499"/>
    <s v="retired"/>
    <n v="7"/>
    <s v="Platinum"/>
    <s v="Chicago"/>
    <s v="On-time"/>
    <s v="On-time"/>
    <s v="On-time"/>
    <s v="Late"/>
    <s v="Missed"/>
    <s v="Late"/>
    <m/>
    <m/>
    <m/>
    <m/>
  </r>
  <r>
    <s v="CUST0190"/>
    <n v="19"/>
    <x v="144"/>
    <x v="28"/>
    <x v="184"/>
    <n v="6"/>
    <x v="0"/>
    <n v="44437"/>
    <n v="0.34773506397364701"/>
    <s v="employed"/>
    <n v="14"/>
    <s v="Gold"/>
    <s v="Chicago"/>
    <s v="Missed"/>
    <s v="On-time"/>
    <s v="On-time"/>
    <s v="Late"/>
    <s v="On-time"/>
    <s v="Late"/>
    <m/>
    <m/>
    <m/>
    <m/>
  </r>
  <r>
    <s v="CUST0191"/>
    <n v="59"/>
    <x v="145"/>
    <x v="102"/>
    <x v="185"/>
    <n v="3"/>
    <x v="1"/>
    <n v="49016"/>
    <n v="0.32929882083349699"/>
    <s v="Self-employed"/>
    <n v="2"/>
    <s v="Standard"/>
    <s v="Chicago"/>
    <s v="Missed"/>
    <s v="On-time"/>
    <s v="Late"/>
    <s v="Late"/>
    <s v="Late"/>
    <s v="On-time"/>
    <m/>
    <m/>
    <m/>
    <m/>
  </r>
  <r>
    <s v="CUST0192"/>
    <n v="62"/>
    <x v="146"/>
    <x v="140"/>
    <x v="186"/>
    <n v="1"/>
    <x v="0"/>
    <n v="45776"/>
    <n v="0.33776145063289398"/>
    <s v="employed"/>
    <n v="14"/>
    <s v="Student"/>
    <s v="Houston"/>
    <s v="Missed"/>
    <s v="Missed"/>
    <s v="Late"/>
    <s v="Missed"/>
    <s v="On-time"/>
    <s v="Late"/>
    <m/>
    <m/>
    <m/>
    <m/>
  </r>
  <r>
    <s v="CUST0193"/>
    <n v="74"/>
    <x v="147"/>
    <x v="55"/>
    <x v="187"/>
    <n v="4"/>
    <x v="0"/>
    <n v="22835"/>
    <n v="0.339259766446598"/>
    <s v="Self-employed"/>
    <n v="12"/>
    <s v="Business"/>
    <s v="Los Angeles"/>
    <s v="On-time"/>
    <s v="On-time"/>
    <s v="On-time"/>
    <s v="On-time"/>
    <s v="Missed"/>
    <s v="Missed"/>
    <m/>
    <m/>
    <m/>
    <m/>
  </r>
  <r>
    <s v="CUST0194"/>
    <n v="70"/>
    <x v="148"/>
    <x v="60"/>
    <x v="188"/>
    <n v="0"/>
    <x v="0"/>
    <n v="34897"/>
    <n v="0.45905033445648302"/>
    <s v="employed"/>
    <n v="8"/>
    <s v="Standard"/>
    <s v="Houston"/>
    <s v="Missed"/>
    <s v="Late"/>
    <s v="Missed"/>
    <s v="Missed"/>
    <s v="Missed"/>
    <s v="Missed"/>
    <m/>
    <m/>
    <m/>
    <m/>
  </r>
  <r>
    <s v="CUST0195"/>
    <n v="23"/>
    <x v="50"/>
    <x v="76"/>
    <x v="189"/>
    <n v="2"/>
    <x v="1"/>
    <n v="42556"/>
    <n v="0.25403231315107"/>
    <s v="EMP"/>
    <n v="1"/>
    <s v="Business"/>
    <s v="Phoenix"/>
    <s v="Missed"/>
    <s v="Missed"/>
    <s v="Missed"/>
    <s v="Late"/>
    <s v="On-time"/>
    <s v="Late"/>
    <m/>
    <m/>
    <m/>
    <m/>
  </r>
  <r>
    <s v="CUST0196"/>
    <n v="45"/>
    <x v="149"/>
    <x v="141"/>
    <x v="190"/>
    <n v="5"/>
    <x v="0"/>
    <n v="45776"/>
    <n v="0.147426409679631"/>
    <s v="retired"/>
    <n v="7"/>
    <s v="Gold"/>
    <s v="Houston"/>
    <s v="Late"/>
    <s v="On-time"/>
    <s v="Missed"/>
    <s v="Late"/>
    <s v="Late"/>
    <s v="Missed"/>
    <m/>
    <m/>
    <m/>
    <m/>
  </r>
  <r>
    <s v="CUST0197"/>
    <n v="45"/>
    <x v="150"/>
    <x v="126"/>
    <x v="191"/>
    <n v="6"/>
    <x v="0"/>
    <n v="39259"/>
    <n v="0.23021262313841101"/>
    <s v="retired"/>
    <n v="19"/>
    <s v="Gold"/>
    <s v="Phoenix"/>
    <s v="On-time"/>
    <s v="Late"/>
    <s v="On-time"/>
    <s v="Missed"/>
    <s v="Late"/>
    <s v="Missed"/>
    <m/>
    <m/>
    <m/>
    <m/>
  </r>
  <r>
    <s v="CUST0198"/>
    <n v="61"/>
    <x v="41"/>
    <x v="23"/>
    <x v="192"/>
    <n v="5"/>
    <x v="1"/>
    <n v="22835"/>
    <n v="0.37572669335353998"/>
    <s v="Unemployed"/>
    <n v="16"/>
    <s v="Standard"/>
    <s v="New York"/>
    <s v="On-time"/>
    <s v="Missed"/>
    <s v="Missed"/>
    <s v="On-time"/>
    <s v="On-time"/>
    <s v="On-time"/>
    <m/>
    <m/>
    <m/>
    <m/>
  </r>
  <r>
    <s v="CUST0199"/>
    <n v="61"/>
    <x v="69"/>
    <x v="41"/>
    <x v="193"/>
    <n v="4"/>
    <x v="0"/>
    <n v="72809"/>
    <n v="0.30233295086471701"/>
    <s v="employed"/>
    <n v="12"/>
    <s v="Business"/>
    <s v="New York"/>
    <s v="Missed"/>
    <s v="Late"/>
    <s v="Late"/>
    <s v="On-time"/>
    <s v="Missed"/>
    <s v="Missed"/>
    <m/>
    <m/>
    <m/>
    <m/>
  </r>
  <r>
    <s v="CUST0200"/>
    <n v="37"/>
    <x v="151"/>
    <x v="84"/>
    <x v="194"/>
    <n v="6"/>
    <x v="0"/>
    <n v="85014"/>
    <n v="0.25324006595050003"/>
    <s v="retired"/>
    <n v="0"/>
    <s v="Gold"/>
    <s v="Phoenix"/>
    <s v="Late"/>
    <s v="Late"/>
    <s v="Missed"/>
    <s v="On-time"/>
    <s v="On-time"/>
    <s v="Late"/>
    <m/>
    <m/>
    <m/>
    <m/>
  </r>
  <r>
    <s v="CUST0201"/>
    <n v="47"/>
    <x v="152"/>
    <x v="48"/>
    <x v="195"/>
    <n v="6"/>
    <x v="0"/>
    <n v="49016"/>
    <n v="0.192350273159035"/>
    <s v="employed"/>
    <n v="1"/>
    <s v="Student"/>
    <s v="Phoenix"/>
    <s v="On-time"/>
    <s v="Late"/>
    <s v="Late"/>
    <s v="Late"/>
    <s v="Missed"/>
    <s v="On-time"/>
    <m/>
    <m/>
    <m/>
    <m/>
  </r>
  <r>
    <s v="CUST0202"/>
    <n v="28"/>
    <x v="153"/>
    <x v="130"/>
    <x v="196"/>
    <n v="0"/>
    <x v="0"/>
    <n v="95376"/>
    <n v="0.322128612173053"/>
    <s v="EMP"/>
    <n v="14"/>
    <s v="Platinum"/>
    <s v="Houston"/>
    <s v="Missed"/>
    <s v="Missed"/>
    <s v="Missed"/>
    <s v="Missed"/>
    <s v="On-time"/>
    <s v="Missed"/>
    <m/>
    <m/>
    <m/>
    <m/>
  </r>
  <r>
    <s v="CUST0203"/>
    <n v="72"/>
    <x v="154"/>
    <x v="37"/>
    <x v="197"/>
    <n v="6"/>
    <x v="0"/>
    <n v="10778"/>
    <n v="0.36445062752738"/>
    <s v="employed"/>
    <n v="11"/>
    <s v="Platinum"/>
    <s v="Phoenix"/>
    <s v="Missed"/>
    <s v="On-time"/>
    <s v="Late"/>
    <s v="Late"/>
    <s v="Missed"/>
    <s v="Late"/>
    <m/>
    <m/>
    <m/>
    <m/>
  </r>
  <r>
    <s v="CUST0204"/>
    <n v="45"/>
    <x v="22"/>
    <x v="93"/>
    <x v="198"/>
    <n v="3"/>
    <x v="0"/>
    <n v="95930"/>
    <n v="0.33058720550960202"/>
    <s v="employed"/>
    <n v="13"/>
    <s v="Gold"/>
    <s v="Los Angeles"/>
    <s v="Missed"/>
    <s v="Late"/>
    <s v="Late"/>
    <s v="Missed"/>
    <s v="Missed"/>
    <s v="Missed"/>
    <m/>
    <m/>
    <m/>
    <m/>
  </r>
  <r>
    <s v="CUST0205"/>
    <n v="42"/>
    <x v="38"/>
    <x v="141"/>
    <x v="199"/>
    <n v="1"/>
    <x v="0"/>
    <n v="27697"/>
    <n v="0.27466696688450498"/>
    <s v="Unemployed"/>
    <n v="1"/>
    <s v="Business"/>
    <s v="New York"/>
    <s v="Late"/>
    <s v="Missed"/>
    <s v="On-time"/>
    <s v="Late"/>
    <s v="Late"/>
    <s v="On-time"/>
    <m/>
    <m/>
    <m/>
    <m/>
  </r>
  <r>
    <s v="CUST0206"/>
    <n v="56"/>
    <x v="155"/>
    <x v="101"/>
    <x v="200"/>
    <n v="1"/>
    <x v="1"/>
    <n v="33772"/>
    <n v="0.314664128429746"/>
    <s v="retired"/>
    <n v="17"/>
    <s v="Gold"/>
    <s v="New York"/>
    <s v="On-time"/>
    <s v="On-time"/>
    <s v="Missed"/>
    <s v="Late"/>
    <s v="Missed"/>
    <s v="On-time"/>
    <m/>
    <m/>
    <m/>
    <m/>
  </r>
  <r>
    <s v="CUST0207"/>
    <n v="50"/>
    <x v="62"/>
    <x v="142"/>
    <x v="201"/>
    <n v="1"/>
    <x v="0"/>
    <n v="42637"/>
    <n v="0.314084296655741"/>
    <s v="employed"/>
    <n v="6"/>
    <s v="Business"/>
    <s v="Phoenix"/>
    <s v="On-time"/>
    <s v="Missed"/>
    <s v="Missed"/>
    <s v="Late"/>
    <s v="Late"/>
    <s v="Late"/>
    <m/>
    <m/>
    <m/>
    <m/>
  </r>
  <r>
    <s v="CUST0208"/>
    <n v="18"/>
    <x v="156"/>
    <x v="9"/>
    <x v="202"/>
    <n v="3"/>
    <x v="0"/>
    <n v="3081"/>
    <n v="0.31896969312176598"/>
    <s v="Self-employed"/>
    <n v="5"/>
    <s v="Student"/>
    <s v="Chicago"/>
    <s v="Missed"/>
    <s v="Missed"/>
    <s v="On-time"/>
    <s v="On-time"/>
    <s v="Late"/>
    <s v="On-time"/>
    <m/>
    <m/>
    <m/>
    <m/>
  </r>
  <r>
    <s v="CUST0209"/>
    <n v="74"/>
    <x v="38"/>
    <x v="143"/>
    <x v="203"/>
    <n v="5"/>
    <x v="0"/>
    <n v="45776"/>
    <n v="0.18156950489808699"/>
    <s v="EMP"/>
    <n v="13"/>
    <s v="Business"/>
    <s v="Chicago"/>
    <s v="On-time"/>
    <s v="On-time"/>
    <s v="Missed"/>
    <s v="Missed"/>
    <s v="Missed"/>
    <s v="On-time"/>
    <m/>
    <m/>
    <m/>
    <m/>
  </r>
  <r>
    <s v="CUST0210"/>
    <n v="44"/>
    <x v="157"/>
    <x v="124"/>
    <x v="204"/>
    <n v="0"/>
    <x v="0"/>
    <n v="8828"/>
    <n v="0.31973263506148702"/>
    <s v="employed"/>
    <n v="7"/>
    <s v="Gold"/>
    <s v="Phoenix"/>
    <s v="On-time"/>
    <s v="On-time"/>
    <s v="On-time"/>
    <s v="Missed"/>
    <s v="Missed"/>
    <s v="Missed"/>
    <m/>
    <m/>
    <m/>
    <m/>
  </r>
  <r>
    <s v="CUST0211"/>
    <n v="74"/>
    <x v="113"/>
    <x v="144"/>
    <x v="205"/>
    <n v="6"/>
    <x v="0"/>
    <n v="1217"/>
    <n v="0.25594035315337998"/>
    <s v="EMP"/>
    <n v="1"/>
    <s v="Student"/>
    <s v="Los Angeles"/>
    <s v="Late"/>
    <s v="On-time"/>
    <s v="Missed"/>
    <s v="Missed"/>
    <s v="On-time"/>
    <s v="On-time"/>
    <m/>
    <m/>
    <m/>
    <m/>
  </r>
  <r>
    <s v="CUST0212"/>
    <n v="69"/>
    <x v="137"/>
    <x v="145"/>
    <x v="206"/>
    <n v="3"/>
    <x v="0"/>
    <n v="83604"/>
    <n v="0.40406186060097499"/>
    <s v="retired"/>
    <n v="16"/>
    <s v="Standard"/>
    <s v="Chicago"/>
    <s v="Late"/>
    <s v="Late"/>
    <s v="Missed"/>
    <s v="On-time"/>
    <s v="On-time"/>
    <s v="Missed"/>
    <m/>
    <m/>
    <m/>
    <m/>
  </r>
  <r>
    <s v="CUST0213"/>
    <n v="30"/>
    <x v="158"/>
    <x v="146"/>
    <x v="207"/>
    <n v="1"/>
    <x v="0"/>
    <n v="82909"/>
    <n v="0.31329186417502702"/>
    <s v="Self-employed"/>
    <n v="4"/>
    <s v="Platinum"/>
    <s v="Phoenix"/>
    <s v="Late"/>
    <s v="On-time"/>
    <s v="Late"/>
    <s v="On-time"/>
    <s v="Missed"/>
    <s v="On-time"/>
    <m/>
    <m/>
    <m/>
    <m/>
  </r>
  <r>
    <s v="CUST0214"/>
    <n v="58"/>
    <x v="121"/>
    <x v="40"/>
    <x v="208"/>
    <n v="4"/>
    <x v="0"/>
    <n v="13761"/>
    <n v="0.383547922182289"/>
    <s v="Unemployed"/>
    <n v="13"/>
    <s v="Gold"/>
    <s v="Los Angeles"/>
    <s v="Missed"/>
    <s v="Late"/>
    <s v="On-time"/>
    <s v="On-time"/>
    <s v="Late"/>
    <s v="Missed"/>
    <m/>
    <m/>
    <m/>
    <m/>
  </r>
  <r>
    <s v="CUST0215"/>
    <n v="20"/>
    <x v="103"/>
    <x v="61"/>
    <x v="209"/>
    <n v="2"/>
    <x v="0"/>
    <n v="47695"/>
    <n v="0.269821861295024"/>
    <s v="Unemployed"/>
    <n v="19"/>
    <s v="Gold"/>
    <s v="Los Angeles"/>
    <s v="On-time"/>
    <s v="Missed"/>
    <s v="Late"/>
    <s v="On-time"/>
    <s v="On-time"/>
    <s v="On-time"/>
    <m/>
    <m/>
    <m/>
    <m/>
  </r>
  <r>
    <s v="CUST0216"/>
    <n v="56"/>
    <x v="159"/>
    <x v="105"/>
    <x v="210"/>
    <n v="6"/>
    <x v="0"/>
    <n v="11564"/>
    <n v="0.27342861623885401"/>
    <s v="Self-employed"/>
    <n v="2"/>
    <s v="Gold"/>
    <s v="Houston"/>
    <s v="Late"/>
    <s v="On-time"/>
    <s v="On-time"/>
    <s v="On-time"/>
    <s v="Late"/>
    <s v="Missed"/>
    <m/>
    <m/>
    <m/>
    <m/>
  </r>
  <r>
    <s v="CUST0217"/>
    <n v="23"/>
    <x v="160"/>
    <x v="147"/>
    <x v="211"/>
    <n v="3"/>
    <x v="0"/>
    <n v="43870"/>
    <n v="0.449425124625633"/>
    <s v="EMP"/>
    <n v="4"/>
    <s v="Student"/>
    <s v="Los Angeles"/>
    <s v="On-time"/>
    <s v="Missed"/>
    <s v="On-time"/>
    <s v="Missed"/>
    <s v="Missed"/>
    <s v="Missed"/>
    <m/>
    <m/>
    <m/>
    <m/>
  </r>
  <r>
    <s v="CUST0218"/>
    <n v="25"/>
    <x v="102"/>
    <x v="13"/>
    <x v="212"/>
    <n v="3"/>
    <x v="0"/>
    <n v="92149"/>
    <n v="0.34363351884155002"/>
    <s v="retired"/>
    <n v="15"/>
    <s v="Standard"/>
    <s v="Chicago"/>
    <s v="On-time"/>
    <s v="Late"/>
    <s v="Late"/>
    <s v="On-time"/>
    <s v="Missed"/>
    <s v="Missed"/>
    <m/>
    <m/>
    <m/>
    <m/>
  </r>
  <r>
    <s v="CUST0219"/>
    <n v="44"/>
    <x v="161"/>
    <x v="49"/>
    <x v="213"/>
    <n v="0"/>
    <x v="0"/>
    <n v="23748"/>
    <n v="0.22854854675942601"/>
    <s v="employed"/>
    <n v="17"/>
    <s v="Business"/>
    <s v="Chicago"/>
    <s v="On-time"/>
    <s v="On-time"/>
    <s v="Late"/>
    <s v="Missed"/>
    <s v="On-time"/>
    <s v="Missed"/>
    <m/>
    <m/>
    <m/>
    <m/>
  </r>
  <r>
    <s v="CUST0220"/>
    <n v="26"/>
    <x v="80"/>
    <x v="141"/>
    <x v="214"/>
    <n v="0"/>
    <x v="0"/>
    <n v="15424"/>
    <n v="0.38969744386204702"/>
    <s v="Self-employed"/>
    <n v="16"/>
    <s v="Standard"/>
    <s v="Phoenix"/>
    <s v="On-time"/>
    <s v="Missed"/>
    <s v="Late"/>
    <s v="Missed"/>
    <s v="Missed"/>
    <s v="Missed"/>
    <m/>
    <m/>
    <m/>
    <m/>
  </r>
  <r>
    <s v="CUST0221"/>
    <n v="54"/>
    <x v="162"/>
    <x v="148"/>
    <x v="215"/>
    <n v="3"/>
    <x v="0"/>
    <n v="21613"/>
    <n v="0.24666952665721201"/>
    <s v="employed"/>
    <n v="10"/>
    <s v="Student"/>
    <s v="Phoenix"/>
    <s v="Late"/>
    <s v="Missed"/>
    <s v="On-time"/>
    <s v="Late"/>
    <s v="Missed"/>
    <s v="Late"/>
    <m/>
    <m/>
    <m/>
    <m/>
  </r>
  <r>
    <s v="CUST0222"/>
    <n v="50"/>
    <x v="163"/>
    <x v="149"/>
    <x v="216"/>
    <n v="1"/>
    <x v="1"/>
    <n v="41743"/>
    <n v="0.32256981378115201"/>
    <s v="EMP"/>
    <n v="16"/>
    <s v="Gold"/>
    <s v="Los Angeles"/>
    <s v="Late"/>
    <s v="Late"/>
    <s v="Missed"/>
    <s v="Missed"/>
    <s v="On-time"/>
    <s v="Late"/>
    <m/>
    <m/>
    <m/>
    <m/>
  </r>
  <r>
    <s v="CUST0223"/>
    <n v="68"/>
    <x v="164"/>
    <x v="150"/>
    <x v="217"/>
    <n v="2"/>
    <x v="0"/>
    <n v="24851"/>
    <n v="0.48366746308594"/>
    <s v="Unemployed"/>
    <n v="15"/>
    <s v="Platinum"/>
    <s v="New York"/>
    <s v="Missed"/>
    <s v="On-time"/>
    <s v="Late"/>
    <s v="On-time"/>
    <s v="Late"/>
    <s v="Late"/>
    <m/>
    <m/>
    <m/>
    <m/>
  </r>
  <r>
    <s v="CUST0224"/>
    <n v="59"/>
    <x v="165"/>
    <x v="77"/>
    <x v="218"/>
    <n v="6"/>
    <x v="0"/>
    <n v="41958"/>
    <n v="0.15687176123619401"/>
    <s v="Self-employed"/>
    <n v="1"/>
    <s v="Gold"/>
    <s v="Houston"/>
    <s v="On-time"/>
    <s v="Missed"/>
    <s v="On-time"/>
    <s v="Late"/>
    <s v="Missed"/>
    <s v="On-time"/>
    <m/>
    <m/>
    <m/>
    <m/>
  </r>
  <r>
    <s v="CUST0225"/>
    <n v="61"/>
    <x v="38"/>
    <x v="151"/>
    <x v="219"/>
    <n v="0"/>
    <x v="0"/>
    <n v="98062"/>
    <n v="0.28242180782334603"/>
    <s v="Unemployed"/>
    <n v="3"/>
    <s v="Business"/>
    <s v="New York"/>
    <s v="Late"/>
    <s v="On-time"/>
    <s v="On-time"/>
    <s v="Late"/>
    <s v="Late"/>
    <s v="Missed"/>
    <m/>
    <m/>
    <m/>
    <m/>
  </r>
  <r>
    <s v="CUST0226"/>
    <n v="41"/>
    <x v="106"/>
    <x v="146"/>
    <x v="220"/>
    <n v="6"/>
    <x v="0"/>
    <n v="14756"/>
    <n v="0.34082716409020303"/>
    <s v="EMP"/>
    <n v="6"/>
    <s v="Platinum"/>
    <s v="Los Angeles"/>
    <s v="Missed"/>
    <s v="On-time"/>
    <s v="On-time"/>
    <s v="Late"/>
    <s v="Late"/>
    <s v="Late"/>
    <m/>
    <m/>
    <m/>
    <m/>
  </r>
  <r>
    <s v="CUST0227"/>
    <n v="32"/>
    <x v="166"/>
    <x v="16"/>
    <x v="221"/>
    <n v="1"/>
    <x v="0"/>
    <n v="11061"/>
    <n v="0.37646983346646701"/>
    <s v="Unemployed"/>
    <n v="1"/>
    <s v="Gold"/>
    <s v="Los Angeles"/>
    <s v="Late"/>
    <s v="Late"/>
    <s v="Missed"/>
    <s v="Missed"/>
    <s v="On-time"/>
    <s v="Missed"/>
    <m/>
    <m/>
    <m/>
    <m/>
  </r>
  <r>
    <s v="CUST0228"/>
    <n v="71"/>
    <x v="167"/>
    <x v="76"/>
    <x v="222"/>
    <n v="6"/>
    <x v="0"/>
    <n v="11308"/>
    <n v="0.17587660926391199"/>
    <s v="Self-employed"/>
    <n v="5"/>
    <s v="Platinum"/>
    <s v="New York"/>
    <s v="Missed"/>
    <s v="Missed"/>
    <s v="Missed"/>
    <s v="On-time"/>
    <s v="Missed"/>
    <s v="Late"/>
    <m/>
    <m/>
    <m/>
    <m/>
  </r>
  <r>
    <s v="CUST0229"/>
    <n v="49"/>
    <x v="38"/>
    <x v="152"/>
    <x v="223"/>
    <n v="4"/>
    <x v="0"/>
    <n v="62010"/>
    <n v="0.146420973142498"/>
    <s v="EMP"/>
    <n v="16"/>
    <s v="Standard"/>
    <s v="Houston"/>
    <s v="Late"/>
    <s v="Late"/>
    <s v="On-time"/>
    <s v="Late"/>
    <s v="Missed"/>
    <s v="Missed"/>
    <m/>
    <m/>
    <m/>
    <m/>
  </r>
  <r>
    <s v="CUST0230"/>
    <n v="49"/>
    <x v="168"/>
    <x v="153"/>
    <x v="224"/>
    <n v="0"/>
    <x v="1"/>
    <n v="73327"/>
    <n v="0.40907493519904198"/>
    <s v="employed"/>
    <n v="6"/>
    <s v="Student"/>
    <s v="New York"/>
    <s v="Missed"/>
    <s v="Missed"/>
    <s v="On-time"/>
    <s v="Late"/>
    <s v="Missed"/>
    <s v="On-time"/>
    <m/>
    <m/>
    <m/>
    <m/>
  </r>
  <r>
    <s v="CUST0231"/>
    <n v="41"/>
    <x v="0"/>
    <x v="95"/>
    <x v="225"/>
    <n v="1"/>
    <x v="0"/>
    <n v="96167"/>
    <n v="0.227958514319616"/>
    <s v="Self-employed"/>
    <n v="4"/>
    <s v="Gold"/>
    <s v="Phoenix"/>
    <s v="Late"/>
    <s v="On-time"/>
    <s v="Missed"/>
    <s v="Late"/>
    <s v="Late"/>
    <s v="On-time"/>
    <m/>
    <m/>
    <m/>
    <m/>
  </r>
  <r>
    <s v="CUST0232"/>
    <n v="58"/>
    <x v="169"/>
    <x v="154"/>
    <x v="226"/>
    <n v="1"/>
    <x v="1"/>
    <n v="2882"/>
    <n v="0.22377174920026799"/>
    <s v="employed"/>
    <n v="4"/>
    <s v="Business"/>
    <s v="Chicago"/>
    <s v="On-time"/>
    <s v="On-time"/>
    <s v="Late"/>
    <s v="Late"/>
    <s v="On-time"/>
    <s v="Late"/>
    <m/>
    <m/>
    <m/>
    <m/>
  </r>
  <r>
    <s v="CUST0233"/>
    <n v="69"/>
    <x v="85"/>
    <x v="105"/>
    <x v="227"/>
    <n v="2"/>
    <x v="0"/>
    <n v="32588"/>
    <n v="0.45502496727721597"/>
    <s v="retired"/>
    <n v="19"/>
    <s v="Standard"/>
    <s v="Phoenix"/>
    <s v="Late"/>
    <s v="On-time"/>
    <s v="Late"/>
    <s v="Late"/>
    <s v="Missed"/>
    <s v="Missed"/>
    <m/>
    <m/>
    <m/>
    <m/>
  </r>
  <r>
    <s v="CUST0234"/>
    <n v="66"/>
    <x v="170"/>
    <x v="13"/>
    <x v="228"/>
    <n v="2"/>
    <x v="0"/>
    <n v="11061"/>
    <n v="0.30697023147318198"/>
    <s v="Self-employed"/>
    <n v="15"/>
    <s v="Gold"/>
    <s v="Chicago"/>
    <s v="Late"/>
    <s v="On-time"/>
    <s v="On-time"/>
    <s v="Missed"/>
    <s v="Missed"/>
    <s v="Missed"/>
    <m/>
    <m/>
    <m/>
    <m/>
  </r>
  <r>
    <s v="CUST0235"/>
    <n v="66"/>
    <x v="171"/>
    <x v="155"/>
    <x v="229"/>
    <n v="4"/>
    <x v="0"/>
    <n v="42715"/>
    <n v="0.30762382276815697"/>
    <s v="EMP"/>
    <n v="18"/>
    <s v="Standard"/>
    <s v="Los Angeles"/>
    <s v="Missed"/>
    <s v="Late"/>
    <s v="Missed"/>
    <s v="Missed"/>
    <s v="Missed"/>
    <s v="Missed"/>
    <m/>
    <m/>
    <m/>
    <m/>
  </r>
  <r>
    <s v="CUST0236"/>
    <n v="69"/>
    <x v="85"/>
    <x v="156"/>
    <x v="230"/>
    <n v="1"/>
    <x v="0"/>
    <n v="2926"/>
    <n v="0.28202005548484599"/>
    <s v="retired"/>
    <n v="8"/>
    <s v="Business"/>
    <s v="Houston"/>
    <s v="Late"/>
    <s v="Late"/>
    <s v="On-time"/>
    <s v="Missed"/>
    <s v="Late"/>
    <s v="Missed"/>
    <m/>
    <m/>
    <m/>
    <m/>
  </r>
  <r>
    <s v="CUST0237"/>
    <n v="29"/>
    <x v="172"/>
    <x v="157"/>
    <x v="231"/>
    <n v="5"/>
    <x v="0"/>
    <n v="98999"/>
    <n v="0.17760179332568299"/>
    <s v="Self-employed"/>
    <n v="4"/>
    <s v="Gold"/>
    <s v="New York"/>
    <s v="On-time"/>
    <s v="Missed"/>
    <s v="Missed"/>
    <s v="On-time"/>
    <s v="Missed"/>
    <s v="Missed"/>
    <m/>
    <m/>
    <m/>
    <m/>
  </r>
  <r>
    <s v="CUST0238"/>
    <n v="56"/>
    <x v="173"/>
    <x v="158"/>
    <x v="232"/>
    <n v="1"/>
    <x v="1"/>
    <n v="75777"/>
    <n v="0.36756969493943797"/>
    <s v="employed"/>
    <n v="7"/>
    <s v="Business"/>
    <s v="Houston"/>
    <s v="On-time"/>
    <s v="Missed"/>
    <s v="On-time"/>
    <s v="Missed"/>
    <s v="On-time"/>
    <s v="On-time"/>
    <m/>
    <m/>
    <m/>
    <m/>
  </r>
  <r>
    <s v="CUST0239"/>
    <n v="19"/>
    <x v="174"/>
    <x v="159"/>
    <x v="233"/>
    <n v="2"/>
    <x v="0"/>
    <n v="29561"/>
    <n v="0.34094505219256199"/>
    <s v="employed"/>
    <n v="8"/>
    <s v="Platinum"/>
    <s v="New York"/>
    <s v="On-time"/>
    <s v="Late"/>
    <s v="On-time"/>
    <s v="Missed"/>
    <s v="Missed"/>
    <s v="Late"/>
    <m/>
    <m/>
    <m/>
    <m/>
  </r>
  <r>
    <s v="CUST0240"/>
    <n v="20"/>
    <x v="168"/>
    <x v="92"/>
    <x v="234"/>
    <n v="5"/>
    <x v="0"/>
    <n v="44439"/>
    <n v="0.316869132533943"/>
    <s v="employed"/>
    <n v="4"/>
    <s v="Business"/>
    <s v="Phoenix"/>
    <s v="On-time"/>
    <s v="On-time"/>
    <s v="Missed"/>
    <s v="On-time"/>
    <s v="Late"/>
    <s v="On-time"/>
    <m/>
    <m/>
    <m/>
    <m/>
  </r>
  <r>
    <s v="CUST0241"/>
    <n v="66"/>
    <x v="90"/>
    <x v="89"/>
    <x v="235"/>
    <n v="0"/>
    <x v="0"/>
    <n v="33772"/>
    <n v="0.288367696072374"/>
    <s v="Unemployed"/>
    <n v="9"/>
    <s v="Platinum"/>
    <s v="Phoenix"/>
    <s v="On-time"/>
    <s v="Late"/>
    <s v="Missed"/>
    <s v="Late"/>
    <s v="Missed"/>
    <s v="Missed"/>
    <m/>
    <m/>
    <m/>
    <m/>
  </r>
  <r>
    <s v="CUST0242"/>
    <n v="54"/>
    <x v="175"/>
    <x v="101"/>
    <x v="236"/>
    <n v="0"/>
    <x v="0"/>
    <n v="31481"/>
    <n v="0.27076803506617098"/>
    <s v="retired"/>
    <n v="1"/>
    <s v="Gold"/>
    <s v="New York"/>
    <s v="Late"/>
    <s v="Missed"/>
    <s v="Late"/>
    <s v="On-time"/>
    <s v="Missed"/>
    <s v="Late"/>
    <m/>
    <m/>
    <m/>
    <m/>
  </r>
  <r>
    <s v="CUST0243"/>
    <n v="66"/>
    <x v="176"/>
    <x v="160"/>
    <x v="237"/>
    <n v="6"/>
    <x v="0"/>
    <n v="29584"/>
    <n v="0.39124833895474098"/>
    <s v="EMP"/>
    <n v="8"/>
    <s v="Platinum"/>
    <s v="Houston"/>
    <s v="On-time"/>
    <s v="On-time"/>
    <s v="Late"/>
    <s v="Late"/>
    <s v="On-time"/>
    <s v="Late"/>
    <m/>
    <m/>
    <m/>
    <m/>
  </r>
  <r>
    <s v="CUST0244"/>
    <n v="73"/>
    <x v="177"/>
    <x v="125"/>
    <x v="238"/>
    <n v="3"/>
    <x v="0"/>
    <n v="45776"/>
    <n v="0.28587069367939"/>
    <s v="EMP"/>
    <n v="10"/>
    <s v="Gold"/>
    <s v="New York"/>
    <s v="Late"/>
    <s v="On-time"/>
    <s v="Late"/>
    <s v="Late"/>
    <s v="Missed"/>
    <s v="Late"/>
    <m/>
    <m/>
    <m/>
    <m/>
  </r>
  <r>
    <s v="CUST0245"/>
    <n v="34"/>
    <x v="178"/>
    <x v="161"/>
    <x v="239"/>
    <n v="2"/>
    <x v="0"/>
    <n v="83604"/>
    <n v="0.29359389614661102"/>
    <s v="Unemployed"/>
    <n v="3"/>
    <s v="Gold"/>
    <s v="Los Angeles"/>
    <s v="Late"/>
    <s v="On-time"/>
    <s v="Missed"/>
    <s v="On-time"/>
    <s v="Missed"/>
    <s v="Missed"/>
    <m/>
    <m/>
    <m/>
    <m/>
  </r>
  <r>
    <s v="CUST0246"/>
    <n v="66"/>
    <x v="179"/>
    <x v="35"/>
    <x v="240"/>
    <n v="3"/>
    <x v="0"/>
    <n v="20052"/>
    <n v="0.35298931548837698"/>
    <s v="employed"/>
    <n v="1"/>
    <s v="Student"/>
    <s v="Phoenix"/>
    <s v="Missed"/>
    <s v="Late"/>
    <s v="Missed"/>
    <s v="Missed"/>
    <s v="On-time"/>
    <s v="Late"/>
    <m/>
    <m/>
    <m/>
    <m/>
  </r>
  <r>
    <s v="CUST0247"/>
    <n v="19"/>
    <x v="180"/>
    <x v="100"/>
    <x v="241"/>
    <n v="5"/>
    <x v="0"/>
    <n v="15424"/>
    <n v="0.32079609306803802"/>
    <s v="employed"/>
    <n v="5"/>
    <s v="Gold"/>
    <s v="Los Angeles"/>
    <s v="Missed"/>
    <s v="Late"/>
    <s v="Missed"/>
    <s v="Late"/>
    <s v="Late"/>
    <s v="On-time"/>
    <m/>
    <m/>
    <m/>
    <m/>
  </r>
  <r>
    <s v="CUST0248"/>
    <n v="19"/>
    <x v="181"/>
    <x v="162"/>
    <x v="242"/>
    <n v="2"/>
    <x v="1"/>
    <n v="26649"/>
    <n v="0.46422760575404298"/>
    <s v="Self-employed"/>
    <n v="13"/>
    <s v="Platinum"/>
    <s v="Phoenix"/>
    <s v="On-time"/>
    <s v="Late"/>
    <s v="On-time"/>
    <s v="On-time"/>
    <s v="On-time"/>
    <s v="Late"/>
    <m/>
    <m/>
    <m/>
    <m/>
  </r>
  <r>
    <s v="CUST0249"/>
    <n v="45"/>
    <x v="182"/>
    <x v="96"/>
    <x v="243"/>
    <n v="4"/>
    <x v="0"/>
    <n v="52425"/>
    <n v="0.12386332225266899"/>
    <s v="employed"/>
    <n v="0"/>
    <s v="Student"/>
    <s v="Phoenix"/>
    <s v="On-time"/>
    <s v="On-time"/>
    <s v="Late"/>
    <s v="Late"/>
    <s v="Missed"/>
    <s v="Late"/>
    <m/>
    <m/>
    <m/>
    <m/>
  </r>
  <r>
    <s v="CUST0250"/>
    <n v="71"/>
    <x v="183"/>
    <x v="132"/>
    <x v="244"/>
    <n v="1"/>
    <x v="0"/>
    <n v="99620"/>
    <n v="0.329990743836726"/>
    <s v="retired"/>
    <n v="17"/>
    <s v="Student"/>
    <s v="Chicago"/>
    <s v="Missed"/>
    <s v="On-time"/>
    <s v="Missed"/>
    <s v="Missed"/>
    <s v="On-time"/>
    <s v="On-time"/>
    <m/>
    <m/>
    <m/>
    <m/>
  </r>
  <r>
    <s v="CUST0251"/>
    <n v="40"/>
    <x v="8"/>
    <x v="163"/>
    <x v="245"/>
    <n v="4"/>
    <x v="0"/>
    <n v="23431"/>
    <n v="0.229439421952783"/>
    <s v="employed"/>
    <n v="6"/>
    <s v="Gold"/>
    <s v="Los Angeles"/>
    <s v="Missed"/>
    <s v="Missed"/>
    <s v="On-time"/>
    <s v="Late"/>
    <s v="Late"/>
    <s v="Missed"/>
    <m/>
    <m/>
    <m/>
    <m/>
  </r>
  <r>
    <s v="CUST0252"/>
    <n v="54"/>
    <x v="129"/>
    <x v="164"/>
    <x v="246"/>
    <n v="5"/>
    <x v="1"/>
    <n v="95074"/>
    <n v="0.20579134652450701"/>
    <s v="employed"/>
    <n v="0"/>
    <s v="Business"/>
    <s v="Los Angeles"/>
    <s v="Missed"/>
    <s v="On-time"/>
    <s v="Missed"/>
    <s v="Late"/>
    <s v="On-time"/>
    <s v="Late"/>
    <m/>
    <m/>
    <m/>
    <m/>
  </r>
  <r>
    <s v="CUST0253"/>
    <n v="49"/>
    <x v="123"/>
    <x v="165"/>
    <x v="247"/>
    <n v="2"/>
    <x v="0"/>
    <n v="31674"/>
    <n v="0.25429357939556502"/>
    <s v="Self-employed"/>
    <n v="0"/>
    <s v="Business"/>
    <s v="Chicago"/>
    <s v="Missed"/>
    <s v="Missed"/>
    <s v="Late"/>
    <s v="Missed"/>
    <s v="Late"/>
    <s v="On-time"/>
    <m/>
    <m/>
    <m/>
    <m/>
  </r>
  <r>
    <s v="CUST0254"/>
    <n v="50"/>
    <x v="184"/>
    <x v="23"/>
    <x v="248"/>
    <n v="5"/>
    <x v="1"/>
    <n v="90739"/>
    <n v="0.30546794084817602"/>
    <s v="employed"/>
    <n v="0"/>
    <s v="Student"/>
    <s v="Houston"/>
    <s v="On-time"/>
    <s v="Missed"/>
    <s v="Late"/>
    <s v="Missed"/>
    <s v="Missed"/>
    <s v="On-time"/>
    <m/>
    <m/>
    <m/>
    <m/>
  </r>
  <r>
    <s v="CUST0255"/>
    <n v="18"/>
    <x v="185"/>
    <x v="166"/>
    <x v="249"/>
    <n v="1"/>
    <x v="0"/>
    <n v="30509"/>
    <n v="0.30990690759234002"/>
    <s v="Unemployed"/>
    <n v="3"/>
    <s v="Gold"/>
    <s v="Los Angeles"/>
    <s v="Missed"/>
    <s v="Late"/>
    <s v="On-time"/>
    <s v="On-time"/>
    <s v="Missed"/>
    <s v="Missed"/>
    <m/>
    <m/>
    <m/>
    <m/>
  </r>
  <r>
    <s v="CUST0256"/>
    <n v="36"/>
    <x v="186"/>
    <x v="151"/>
    <x v="250"/>
    <n v="0"/>
    <x v="0"/>
    <n v="41594"/>
    <n v="0.14826937843214999"/>
    <s v="Self-employed"/>
    <n v="3"/>
    <s v="Business"/>
    <s v="New York"/>
    <s v="On-time"/>
    <s v="Missed"/>
    <s v="Missed"/>
    <s v="On-time"/>
    <s v="On-time"/>
    <s v="Late"/>
    <m/>
    <m/>
    <m/>
    <m/>
  </r>
  <r>
    <s v="CUST0257"/>
    <n v="19"/>
    <x v="82"/>
    <x v="121"/>
    <x v="251"/>
    <n v="0"/>
    <x v="0"/>
    <n v="3142"/>
    <n v="0.24589161703221801"/>
    <s v="Unemployed"/>
    <n v="17"/>
    <s v="Gold"/>
    <s v="Chicago"/>
    <s v="On-time"/>
    <s v="On-time"/>
    <s v="On-time"/>
    <s v="On-time"/>
    <s v="Late"/>
    <s v="Missed"/>
    <m/>
    <m/>
    <m/>
    <m/>
  </r>
  <r>
    <s v="CUST0258"/>
    <n v="70"/>
    <x v="185"/>
    <x v="167"/>
    <x v="252"/>
    <n v="5"/>
    <x v="1"/>
    <n v="63443"/>
    <n v="0.32812215514764498"/>
    <s v="Self-employed"/>
    <n v="10"/>
    <s v="Gold"/>
    <s v="Los Angeles"/>
    <s v="Late"/>
    <s v="On-time"/>
    <s v="Missed"/>
    <s v="Late"/>
    <s v="Missed"/>
    <s v="On-time"/>
    <m/>
    <m/>
    <m/>
    <m/>
  </r>
  <r>
    <s v="CUST0259"/>
    <n v="61"/>
    <x v="187"/>
    <x v="6"/>
    <x v="253"/>
    <n v="3"/>
    <x v="0"/>
    <n v="8526"/>
    <n v="0.21230695492163401"/>
    <s v="employed"/>
    <n v="0"/>
    <s v="Student"/>
    <s v="Houston"/>
    <s v="Late"/>
    <s v="Missed"/>
    <s v="On-time"/>
    <s v="Missed"/>
    <s v="On-time"/>
    <s v="Missed"/>
    <m/>
    <m/>
    <m/>
    <m/>
  </r>
  <r>
    <s v="CUST0260"/>
    <n v="43"/>
    <x v="169"/>
    <x v="8"/>
    <x v="254"/>
    <n v="2"/>
    <x v="0"/>
    <n v="10778"/>
    <n v="0.18852160952834801"/>
    <s v="Unemployed"/>
    <n v="9"/>
    <s v="Student"/>
    <s v="Los Angeles"/>
    <s v="Late"/>
    <s v="Missed"/>
    <s v="Missed"/>
    <s v="On-time"/>
    <s v="Missed"/>
    <s v="On-time"/>
    <m/>
    <m/>
    <m/>
    <m/>
  </r>
  <r>
    <s v="CUST0261"/>
    <n v="49"/>
    <x v="173"/>
    <x v="104"/>
    <x v="255"/>
    <n v="2"/>
    <x v="0"/>
    <n v="15171"/>
    <n v="0.1"/>
    <s v="Unemployed"/>
    <n v="8"/>
    <s v="Standard"/>
    <s v="Phoenix"/>
    <s v="On-time"/>
    <s v="Missed"/>
    <s v="Late"/>
    <s v="On-time"/>
    <s v="On-time"/>
    <s v="Late"/>
    <m/>
    <m/>
    <m/>
    <m/>
  </r>
  <r>
    <s v="CUST0262"/>
    <n v="23"/>
    <x v="188"/>
    <x v="168"/>
    <x v="256"/>
    <n v="0"/>
    <x v="0"/>
    <n v="11942"/>
    <n v="0.233680655162464"/>
    <s v="Unemployed"/>
    <n v="3"/>
    <s v="Business"/>
    <s v="New York"/>
    <s v="On-time"/>
    <s v="Missed"/>
    <s v="On-time"/>
    <s v="Late"/>
    <s v="Missed"/>
    <s v="Late"/>
    <m/>
    <m/>
    <m/>
    <m/>
  </r>
  <r>
    <s v="CUST0263"/>
    <n v="49"/>
    <x v="189"/>
    <x v="169"/>
    <x v="257"/>
    <n v="6"/>
    <x v="0"/>
    <n v="83022"/>
    <n v="0.18503708010491801"/>
    <s v="Self-employed"/>
    <n v="5"/>
    <s v="Business"/>
    <s v="Chicago"/>
    <s v="Late"/>
    <s v="Missed"/>
    <s v="Missed"/>
    <s v="Late"/>
    <s v="Missed"/>
    <s v="Missed"/>
    <m/>
    <m/>
    <m/>
    <m/>
  </r>
  <r>
    <s v="CUST0264"/>
    <n v="72"/>
    <x v="37"/>
    <x v="115"/>
    <x v="258"/>
    <n v="4"/>
    <x v="0"/>
    <n v="72332"/>
    <n v="0.20160671168899399"/>
    <s v="EMP"/>
    <n v="15"/>
    <s v="Business"/>
    <s v="Phoenix"/>
    <s v="Late"/>
    <s v="Missed"/>
    <s v="Late"/>
    <s v="Missed"/>
    <s v="On-time"/>
    <s v="Missed"/>
    <m/>
    <m/>
    <m/>
    <m/>
  </r>
  <r>
    <s v="CUST0265"/>
    <n v="21"/>
    <x v="190"/>
    <x v="170"/>
    <x v="259"/>
    <n v="6"/>
    <x v="1"/>
    <n v="65548"/>
    <n v="0.27281796967203398"/>
    <s v="employed"/>
    <n v="1"/>
    <s v="Platinum"/>
    <s v="Houston"/>
    <s v="Late"/>
    <s v="On-time"/>
    <s v="Missed"/>
    <s v="Late"/>
    <s v="Late"/>
    <s v="On-time"/>
    <m/>
    <m/>
    <m/>
    <m/>
  </r>
  <r>
    <s v="CUST0266"/>
    <n v="72"/>
    <x v="191"/>
    <x v="98"/>
    <x v="260"/>
    <n v="1"/>
    <x v="0"/>
    <n v="92285"/>
    <n v="0.24001711234570999"/>
    <s v="Unemployed"/>
    <n v="17"/>
    <s v="Gold"/>
    <s v="Phoenix"/>
    <s v="Missed"/>
    <s v="Late"/>
    <s v="Missed"/>
    <s v="Missed"/>
    <s v="On-time"/>
    <s v="Late"/>
    <m/>
    <m/>
    <m/>
    <m/>
  </r>
  <r>
    <s v="CUST0267"/>
    <n v="28"/>
    <x v="192"/>
    <x v="171"/>
    <x v="261"/>
    <n v="4"/>
    <x v="0"/>
    <n v="48397"/>
    <n v="0.183376210614069"/>
    <s v="retired"/>
    <n v="9"/>
    <s v="Student"/>
    <s v="Phoenix"/>
    <s v="Missed"/>
    <s v="Missed"/>
    <s v="Late"/>
    <s v="Late"/>
    <s v="Missed"/>
    <s v="Late"/>
    <m/>
    <m/>
    <m/>
    <m/>
  </r>
  <r>
    <s v="CUST0268"/>
    <n v="73"/>
    <x v="193"/>
    <x v="172"/>
    <x v="262"/>
    <n v="4"/>
    <x v="0"/>
    <n v="68998"/>
    <n v="0.1"/>
    <s v="EMP"/>
    <n v="16"/>
    <s v="Business"/>
    <s v="Houston"/>
    <s v="Late"/>
    <s v="Late"/>
    <s v="Missed"/>
    <s v="On-time"/>
    <s v="Missed"/>
    <s v="Late"/>
    <m/>
    <m/>
    <m/>
    <m/>
  </r>
  <r>
    <s v="CUST0269"/>
    <n v="34"/>
    <x v="194"/>
    <x v="173"/>
    <x v="263"/>
    <n v="5"/>
    <x v="0"/>
    <n v="52413"/>
    <n v="0.33023113051476399"/>
    <s v="retired"/>
    <n v="12"/>
    <s v="Standard"/>
    <s v="Phoenix"/>
    <s v="Missed"/>
    <s v="Missed"/>
    <s v="On-time"/>
    <s v="On-time"/>
    <s v="Missed"/>
    <s v="Late"/>
    <m/>
    <m/>
    <m/>
    <m/>
  </r>
  <r>
    <s v="CUST0270"/>
    <n v="55"/>
    <x v="195"/>
    <x v="106"/>
    <x v="264"/>
    <n v="0"/>
    <x v="0"/>
    <n v="50989"/>
    <n v="0.37528272138084701"/>
    <s v="employed"/>
    <n v="17"/>
    <s v="Business"/>
    <s v="Chicago"/>
    <s v="Missed"/>
    <s v="Missed"/>
    <s v="On-time"/>
    <s v="Missed"/>
    <s v="Late"/>
    <s v="Late"/>
    <m/>
    <m/>
    <m/>
    <m/>
  </r>
  <r>
    <s v="CUST0271"/>
    <n v="41"/>
    <x v="196"/>
    <x v="84"/>
    <x v="265"/>
    <n v="6"/>
    <x v="0"/>
    <n v="44016"/>
    <n v="0.26032550210056199"/>
    <s v="employed"/>
    <n v="12"/>
    <s v="Gold"/>
    <s v="Los Angeles"/>
    <s v="Late"/>
    <s v="Missed"/>
    <s v="Late"/>
    <s v="On-time"/>
    <s v="Missed"/>
    <s v="Missed"/>
    <m/>
    <m/>
    <m/>
    <m/>
  </r>
  <r>
    <s v="CUST0272"/>
    <n v="22"/>
    <x v="197"/>
    <x v="174"/>
    <x v="266"/>
    <n v="6"/>
    <x v="0"/>
    <n v="29416"/>
    <n v="0.27342243035457198"/>
    <s v="Unemployed"/>
    <n v="16"/>
    <s v="Gold"/>
    <s v="Phoenix"/>
    <s v="Late"/>
    <s v="Missed"/>
    <s v="Missed"/>
    <s v="Late"/>
    <s v="Late"/>
    <s v="Late"/>
    <m/>
    <m/>
    <m/>
    <m/>
  </r>
  <r>
    <s v="CUST0273"/>
    <n v="69"/>
    <x v="38"/>
    <x v="175"/>
    <x v="267"/>
    <n v="0"/>
    <x v="1"/>
    <n v="45776"/>
    <n v="0.30028105156861201"/>
    <s v="Unemployed"/>
    <n v="4"/>
    <s v="Student"/>
    <s v="Chicago"/>
    <s v="Missed"/>
    <s v="Late"/>
    <s v="Missed"/>
    <s v="Late"/>
    <s v="Missed"/>
    <s v="Missed"/>
    <m/>
    <m/>
    <m/>
    <m/>
  </r>
  <r>
    <s v="CUST0274"/>
    <n v="51"/>
    <x v="198"/>
    <x v="126"/>
    <x v="268"/>
    <n v="6"/>
    <x v="1"/>
    <n v="80150"/>
    <n v="0.45787835766122498"/>
    <s v="Self-employed"/>
    <n v="10"/>
    <s v="Platinum"/>
    <s v="Los Angeles"/>
    <s v="On-time"/>
    <s v="On-time"/>
    <s v="Missed"/>
    <s v="Missed"/>
    <s v="Late"/>
    <s v="Missed"/>
    <m/>
    <m/>
    <m/>
    <m/>
  </r>
  <r>
    <s v="CUST0275"/>
    <n v="23"/>
    <x v="68"/>
    <x v="16"/>
    <x v="269"/>
    <n v="0"/>
    <x v="0"/>
    <n v="2687"/>
    <n v="0.14322922061742199"/>
    <s v="EMP"/>
    <n v="6"/>
    <s v="Student"/>
    <s v="Los Angeles"/>
    <s v="Late"/>
    <s v="On-time"/>
    <s v="On-time"/>
    <s v="Late"/>
    <s v="Late"/>
    <s v="Late"/>
    <m/>
    <m/>
    <m/>
    <m/>
  </r>
  <r>
    <s v="CUST0276"/>
    <n v="39"/>
    <x v="132"/>
    <x v="116"/>
    <x v="270"/>
    <n v="5"/>
    <x v="1"/>
    <n v="23685"/>
    <n v="0.258551027412743"/>
    <s v="EMP"/>
    <n v="9"/>
    <s v="Business"/>
    <s v="Phoenix"/>
    <s v="Late"/>
    <s v="Late"/>
    <s v="On-time"/>
    <s v="Late"/>
    <s v="On-time"/>
    <s v="Missed"/>
    <m/>
    <m/>
    <m/>
    <m/>
  </r>
  <r>
    <s v="CUST0277"/>
    <n v="28"/>
    <x v="38"/>
    <x v="176"/>
    <x v="271"/>
    <n v="3"/>
    <x v="0"/>
    <n v="77719"/>
    <n v="0.12780270358672799"/>
    <s v="Unemployed"/>
    <n v="16"/>
    <s v="Standard"/>
    <s v="Chicago"/>
    <s v="On-time"/>
    <s v="Missed"/>
    <s v="Missed"/>
    <s v="Late"/>
    <s v="Missed"/>
    <s v="On-time"/>
    <m/>
    <m/>
    <m/>
    <m/>
  </r>
  <r>
    <s v="CUST0278"/>
    <n v="65"/>
    <x v="199"/>
    <x v="133"/>
    <x v="272"/>
    <n v="4"/>
    <x v="0"/>
    <n v="44439"/>
    <n v="0.33623184587355498"/>
    <s v="employed"/>
    <n v="14"/>
    <s v="Student"/>
    <s v="Phoenix"/>
    <s v="Missed"/>
    <s v="Missed"/>
    <s v="On-time"/>
    <s v="On-time"/>
    <s v="On-time"/>
    <s v="Late"/>
    <m/>
    <m/>
    <m/>
    <m/>
  </r>
  <r>
    <s v="CUST0279"/>
    <n v="33"/>
    <x v="38"/>
    <x v="177"/>
    <x v="273"/>
    <n v="5"/>
    <x v="0"/>
    <n v="37905"/>
    <n v="0.28560416062119798"/>
    <s v="Unemployed"/>
    <n v="17"/>
    <s v="Platinum"/>
    <s v="Houston"/>
    <s v="Missed"/>
    <s v="On-time"/>
    <s v="Late"/>
    <s v="Missed"/>
    <s v="Missed"/>
    <s v="On-time"/>
    <m/>
    <m/>
    <m/>
    <m/>
  </r>
  <r>
    <s v="CUST0280"/>
    <n v="50"/>
    <x v="200"/>
    <x v="178"/>
    <x v="274"/>
    <n v="2"/>
    <x v="0"/>
    <n v="99005"/>
    <n v="0.320299211293607"/>
    <s v="employed"/>
    <n v="18"/>
    <s v="Student"/>
    <s v="Los Angeles"/>
    <s v="Missed"/>
    <s v="Missed"/>
    <s v="Missed"/>
    <s v="Missed"/>
    <s v="Late"/>
    <s v="Missed"/>
    <m/>
    <m/>
    <m/>
    <m/>
  </r>
  <r>
    <s v="CUST0281"/>
    <n v="26"/>
    <x v="189"/>
    <x v="148"/>
    <x v="275"/>
    <n v="1"/>
    <x v="0"/>
    <n v="46813"/>
    <n v="0.31531225625910703"/>
    <s v="employed"/>
    <n v="1"/>
    <s v="Gold"/>
    <s v="Phoenix"/>
    <s v="Late"/>
    <s v="Late"/>
    <s v="Late"/>
    <s v="Missed"/>
    <s v="Missed"/>
    <s v="Late"/>
    <m/>
    <m/>
    <m/>
    <m/>
  </r>
  <r>
    <s v="CUST0282"/>
    <n v="23"/>
    <x v="189"/>
    <x v="16"/>
    <x v="276"/>
    <n v="3"/>
    <x v="1"/>
    <n v="45776"/>
    <n v="0.39907082537035099"/>
    <s v="Unemployed"/>
    <n v="3"/>
    <s v="Business"/>
    <s v="Los Angeles"/>
    <s v="On-time"/>
    <s v="Missed"/>
    <s v="Missed"/>
    <s v="Late"/>
    <s v="Late"/>
    <s v="Missed"/>
    <m/>
    <m/>
    <m/>
    <m/>
  </r>
  <r>
    <s v="CUST0283"/>
    <n v="33"/>
    <x v="122"/>
    <x v="179"/>
    <x v="277"/>
    <n v="2"/>
    <x v="0"/>
    <n v="50989"/>
    <n v="0.353813296456846"/>
    <s v="employed"/>
    <n v="2"/>
    <s v="Business"/>
    <s v="Chicago"/>
    <s v="Missed"/>
    <s v="On-time"/>
    <s v="Missed"/>
    <s v="On-time"/>
    <s v="Late"/>
    <s v="Missed"/>
    <m/>
    <m/>
    <m/>
    <m/>
  </r>
  <r>
    <s v="CUST0284"/>
    <n v="46"/>
    <x v="60"/>
    <x v="180"/>
    <x v="278"/>
    <n v="4"/>
    <x v="1"/>
    <n v="74433"/>
    <n v="0.38305079576600798"/>
    <s v="EMP"/>
    <n v="6"/>
    <s v="Business"/>
    <s v="New York"/>
    <s v="On-time"/>
    <s v="On-time"/>
    <s v="On-time"/>
    <s v="On-time"/>
    <s v="Late"/>
    <s v="Missed"/>
    <m/>
    <m/>
    <m/>
    <m/>
  </r>
  <r>
    <s v="CUST0285"/>
    <n v="20"/>
    <x v="122"/>
    <x v="57"/>
    <x v="279"/>
    <n v="6"/>
    <x v="0"/>
    <n v="52331"/>
    <n v="0.19344653101030501"/>
    <s v="retired"/>
    <n v="17"/>
    <s v="Business"/>
    <s v="Phoenix"/>
    <s v="Late"/>
    <s v="Late"/>
    <s v="On-time"/>
    <s v="Late"/>
    <s v="Late"/>
    <s v="Missed"/>
    <m/>
    <m/>
    <m/>
    <m/>
  </r>
  <r>
    <s v="CUST0286"/>
    <n v="37"/>
    <x v="96"/>
    <x v="5"/>
    <x v="280"/>
    <n v="0"/>
    <x v="0"/>
    <n v="41958"/>
    <n v="0.41931708649751398"/>
    <s v="employed"/>
    <n v="9"/>
    <s v="Business"/>
    <s v="Phoenix"/>
    <s v="Late"/>
    <s v="Missed"/>
    <s v="On-time"/>
    <s v="On-time"/>
    <s v="Late"/>
    <s v="On-time"/>
    <m/>
    <m/>
    <m/>
    <m/>
  </r>
  <r>
    <s v="CUST0287"/>
    <n v="53"/>
    <x v="119"/>
    <x v="181"/>
    <x v="281"/>
    <n v="4"/>
    <x v="1"/>
    <n v="45089"/>
    <n v="0.22776372605110001"/>
    <s v="employed"/>
    <n v="6"/>
    <s v="Business"/>
    <s v="Los Angeles"/>
    <s v="Missed"/>
    <s v="Missed"/>
    <s v="Late"/>
    <s v="Late"/>
    <s v="Late"/>
    <s v="Missed"/>
    <m/>
    <m/>
    <m/>
    <m/>
  </r>
  <r>
    <s v="CUST0288"/>
    <n v="36"/>
    <x v="73"/>
    <x v="30"/>
    <x v="282"/>
    <n v="5"/>
    <x v="0"/>
    <n v="63375"/>
    <n v="0.23351304573760101"/>
    <s v="employed"/>
    <n v="7"/>
    <s v="Standard"/>
    <s v="Chicago"/>
    <s v="On-time"/>
    <s v="Missed"/>
    <s v="Late"/>
    <s v="On-time"/>
    <s v="On-time"/>
    <s v="On-time"/>
    <m/>
    <m/>
    <m/>
    <m/>
  </r>
  <r>
    <s v="CUST0289"/>
    <n v="43"/>
    <x v="201"/>
    <x v="182"/>
    <x v="283"/>
    <n v="1"/>
    <x v="0"/>
    <n v="86965"/>
    <n v="0.32708425773529898"/>
    <s v="retired"/>
    <n v="5"/>
    <s v="Platinum"/>
    <s v="Houston"/>
    <s v="Missed"/>
    <s v="On-time"/>
    <s v="Late"/>
    <s v="Late"/>
    <s v="On-time"/>
    <s v="Missed"/>
    <m/>
    <m/>
    <m/>
    <m/>
  </r>
  <r>
    <s v="CUST0290"/>
    <n v="20"/>
    <x v="191"/>
    <x v="183"/>
    <x v="284"/>
    <n v="5"/>
    <x v="0"/>
    <n v="67673"/>
    <n v="0.33019182630492699"/>
    <s v="Self-employed"/>
    <n v="0"/>
    <s v="Business"/>
    <s v="Chicago"/>
    <s v="Late"/>
    <s v="On-time"/>
    <s v="On-time"/>
    <s v="Missed"/>
    <s v="Late"/>
    <s v="On-time"/>
    <m/>
    <m/>
    <m/>
    <m/>
  </r>
  <r>
    <s v="CUST0291"/>
    <n v="36"/>
    <x v="38"/>
    <x v="141"/>
    <x v="285"/>
    <n v="3"/>
    <x v="0"/>
    <n v="70406"/>
    <n v="0.19281431977675201"/>
    <s v="employed"/>
    <n v="3"/>
    <s v="Platinum"/>
    <s v="Phoenix"/>
    <s v="Late"/>
    <s v="Late"/>
    <s v="Late"/>
    <s v="Late"/>
    <s v="Late"/>
    <s v="Late"/>
    <m/>
    <m/>
    <m/>
    <m/>
  </r>
  <r>
    <s v="CUST0292"/>
    <n v="37"/>
    <x v="82"/>
    <x v="184"/>
    <x v="286"/>
    <n v="3"/>
    <x v="0"/>
    <n v="84521"/>
    <n v="0.28267207082260998"/>
    <s v="retired"/>
    <n v="13"/>
    <s v="Business"/>
    <s v="Houston"/>
    <s v="Missed"/>
    <s v="Late"/>
    <s v="Missed"/>
    <s v="On-time"/>
    <s v="Missed"/>
    <s v="Missed"/>
    <m/>
    <m/>
    <m/>
    <m/>
  </r>
  <r>
    <s v="CUST0293"/>
    <n v="49"/>
    <x v="202"/>
    <x v="33"/>
    <x v="287"/>
    <n v="1"/>
    <x v="0"/>
    <n v="95267"/>
    <n v="0.448823531686947"/>
    <s v="employed"/>
    <n v="16"/>
    <s v="Student"/>
    <s v="Chicago"/>
    <s v="Late"/>
    <s v="Late"/>
    <s v="Late"/>
    <s v="Late"/>
    <s v="Missed"/>
    <s v="Missed"/>
    <m/>
    <m/>
    <m/>
    <m/>
  </r>
  <r>
    <s v="CUST0294"/>
    <n v="24"/>
    <x v="38"/>
    <x v="185"/>
    <x v="288"/>
    <n v="2"/>
    <x v="0"/>
    <n v="45595"/>
    <n v="0.15316634384659"/>
    <s v="employed"/>
    <n v="19"/>
    <s v="Business"/>
    <s v="New York"/>
    <s v="Late"/>
    <s v="Late"/>
    <s v="On-time"/>
    <s v="Missed"/>
    <s v="On-time"/>
    <s v="Missed"/>
    <m/>
    <m/>
    <m/>
    <m/>
  </r>
  <r>
    <s v="CUST0295"/>
    <n v="69"/>
    <x v="56"/>
    <x v="24"/>
    <x v="289"/>
    <n v="2"/>
    <x v="1"/>
    <n v="52331"/>
    <n v="0.44852192410127201"/>
    <s v="EMP"/>
    <n v="17"/>
    <s v="Gold"/>
    <s v="Los Angeles"/>
    <s v="Missed"/>
    <s v="Missed"/>
    <s v="On-time"/>
    <s v="Late"/>
    <s v="Late"/>
    <s v="On-time"/>
    <m/>
    <m/>
    <m/>
    <m/>
  </r>
  <r>
    <s v="CUST0296"/>
    <n v="58"/>
    <x v="49"/>
    <x v="183"/>
    <x v="290"/>
    <n v="3"/>
    <x v="0"/>
    <n v="82714"/>
    <n v="0.275830154858351"/>
    <s v="employed"/>
    <n v="10"/>
    <s v="Standard"/>
    <s v="Chicago"/>
    <s v="Missed"/>
    <s v="Missed"/>
    <s v="Late"/>
    <s v="Missed"/>
    <s v="Late"/>
    <s v="Missed"/>
    <m/>
    <m/>
    <m/>
    <m/>
  </r>
  <r>
    <s v="CUST0297"/>
    <n v="50"/>
    <x v="203"/>
    <x v="130"/>
    <x v="291"/>
    <n v="3"/>
    <x v="0"/>
    <n v="79552"/>
    <n v="0.1"/>
    <s v="Self-employed"/>
    <n v="13"/>
    <s v="Student"/>
    <s v="Chicago"/>
    <s v="On-time"/>
    <s v="On-time"/>
    <s v="On-time"/>
    <s v="On-time"/>
    <s v="Missed"/>
    <s v="On-time"/>
    <m/>
    <m/>
    <m/>
    <m/>
  </r>
  <r>
    <s v="CUST0298"/>
    <n v="57"/>
    <x v="92"/>
    <x v="186"/>
    <x v="292"/>
    <n v="6"/>
    <x v="0"/>
    <n v="41653"/>
    <n v="0.163326826651709"/>
    <s v="Unemployed"/>
    <n v="8"/>
    <s v="Student"/>
    <s v="New York"/>
    <s v="Late"/>
    <s v="On-time"/>
    <s v="Late"/>
    <s v="On-time"/>
    <s v="Missed"/>
    <s v="Missed"/>
    <m/>
    <m/>
    <m/>
    <m/>
  </r>
  <r>
    <s v="CUST0299"/>
    <n v="56"/>
    <x v="38"/>
    <x v="52"/>
    <x v="293"/>
    <n v="0"/>
    <x v="1"/>
    <n v="89660"/>
    <n v="0.20365224622648001"/>
    <s v="retired"/>
    <n v="14"/>
    <s v="Gold"/>
    <s v="Phoenix"/>
    <s v="Late"/>
    <s v="Missed"/>
    <s v="On-time"/>
    <s v="Late"/>
    <s v="Missed"/>
    <s v="On-time"/>
    <m/>
    <m/>
    <m/>
    <m/>
  </r>
  <r>
    <s v="CUST0300"/>
    <n v="35"/>
    <x v="38"/>
    <x v="21"/>
    <x v="294"/>
    <n v="6"/>
    <x v="0"/>
    <n v="62342"/>
    <n v="0.23760706992172501"/>
    <s v="employed"/>
    <n v="11"/>
    <s v="Business"/>
    <s v="Los Angeles"/>
    <s v="Missed"/>
    <s v="Late"/>
    <s v="Late"/>
    <s v="Late"/>
    <s v="Missed"/>
    <s v="On-time"/>
    <m/>
    <m/>
    <m/>
    <m/>
  </r>
  <r>
    <s v="CUST0301"/>
    <n v="57"/>
    <x v="63"/>
    <x v="7"/>
    <x v="295"/>
    <n v="6"/>
    <x v="0"/>
    <n v="52259"/>
    <n v="0.28952867413746602"/>
    <s v="employed"/>
    <n v="9"/>
    <s v="Standard"/>
    <s v="Chicago"/>
    <s v="Missed"/>
    <s v="Late"/>
    <s v="Late"/>
    <s v="Missed"/>
    <s v="On-time"/>
    <s v="Late"/>
    <m/>
    <m/>
    <m/>
    <m/>
  </r>
  <r>
    <s v="CUST0302"/>
    <n v="18"/>
    <x v="11"/>
    <x v="187"/>
    <x v="296"/>
    <n v="2"/>
    <x v="0"/>
    <n v="82789"/>
    <n v="0.1"/>
    <s v="Self-employed"/>
    <n v="18"/>
    <s v="Student"/>
    <s v="Houston"/>
    <s v="Missed"/>
    <s v="Late"/>
    <s v="Late"/>
    <s v="Late"/>
    <s v="Missed"/>
    <s v="Late"/>
    <m/>
    <m/>
    <m/>
    <m/>
  </r>
  <r>
    <s v="CUST0303"/>
    <n v="28"/>
    <x v="204"/>
    <x v="5"/>
    <x v="50"/>
    <n v="1"/>
    <x v="0"/>
    <n v="52217"/>
    <n v="0.31868043924776501"/>
    <s v="EMP"/>
    <n v="18"/>
    <s v="Standard"/>
    <s v="Chicago"/>
    <s v="Missed"/>
    <s v="Late"/>
    <s v="Late"/>
    <s v="Missed"/>
    <s v="On-time"/>
    <s v="Missed"/>
    <m/>
    <m/>
    <m/>
    <m/>
  </r>
  <r>
    <s v="CUST0304"/>
    <n v="45"/>
    <x v="203"/>
    <x v="98"/>
    <x v="297"/>
    <n v="2"/>
    <x v="0"/>
    <n v="9859"/>
    <n v="0.194490949167511"/>
    <s v="employed"/>
    <n v="5"/>
    <s v="Student"/>
    <s v="Los Angeles"/>
    <s v="Late"/>
    <s v="Late"/>
    <s v="Missed"/>
    <s v="Missed"/>
    <s v="Missed"/>
    <s v="Late"/>
    <m/>
    <m/>
    <m/>
    <m/>
  </r>
  <r>
    <s v="CUST0305"/>
    <n v="74"/>
    <x v="137"/>
    <x v="188"/>
    <x v="298"/>
    <n v="0"/>
    <x v="0"/>
    <n v="52217"/>
    <n v="0.43905225716010499"/>
    <s v="employed"/>
    <n v="19"/>
    <s v="Business"/>
    <s v="Chicago"/>
    <s v="Late"/>
    <s v="Missed"/>
    <s v="On-time"/>
    <s v="On-time"/>
    <s v="On-time"/>
    <s v="Late"/>
    <m/>
    <m/>
    <m/>
    <m/>
  </r>
  <r>
    <s v="CUST0306"/>
    <n v="42"/>
    <x v="61"/>
    <x v="189"/>
    <x v="299"/>
    <n v="5"/>
    <x v="0"/>
    <n v="75316"/>
    <n v="0.27298232792560201"/>
    <s v="EMP"/>
    <n v="5"/>
    <s v="Student"/>
    <s v="New York"/>
    <s v="Late"/>
    <s v="Late"/>
    <s v="Late"/>
    <s v="On-time"/>
    <s v="Missed"/>
    <s v="On-time"/>
    <m/>
    <m/>
    <m/>
    <m/>
  </r>
  <r>
    <s v="CUST0307"/>
    <n v="67"/>
    <x v="205"/>
    <x v="188"/>
    <x v="300"/>
    <n v="3"/>
    <x v="0"/>
    <n v="12176"/>
    <n v="0.39428461717327201"/>
    <s v="Self-employed"/>
    <n v="7"/>
    <s v="Student"/>
    <s v="Chicago"/>
    <s v="On-time"/>
    <s v="On-time"/>
    <s v="Late"/>
    <s v="Missed"/>
    <s v="Late"/>
    <s v="On-time"/>
    <m/>
    <m/>
    <m/>
    <m/>
  </r>
  <r>
    <s v="CUST0308"/>
    <n v="40"/>
    <x v="38"/>
    <x v="190"/>
    <x v="301"/>
    <n v="3"/>
    <x v="0"/>
    <n v="71588"/>
    <n v="0.411034897991429"/>
    <s v="retired"/>
    <n v="0"/>
    <s v="Platinum"/>
    <s v="Chicago"/>
    <s v="Missed"/>
    <s v="Late"/>
    <s v="On-time"/>
    <s v="Missed"/>
    <s v="Missed"/>
    <s v="Missed"/>
    <m/>
    <m/>
    <m/>
    <m/>
  </r>
  <r>
    <s v="CUST0309"/>
    <n v="48"/>
    <x v="11"/>
    <x v="30"/>
    <x v="302"/>
    <n v="0"/>
    <x v="1"/>
    <n v="99005"/>
    <n v="0.408327324346621"/>
    <s v="retired"/>
    <n v="16"/>
    <s v="Business"/>
    <s v="Houston"/>
    <s v="Missed"/>
    <s v="Late"/>
    <s v="On-time"/>
    <s v="Late"/>
    <s v="Late"/>
    <s v="On-time"/>
    <m/>
    <m/>
    <m/>
    <m/>
  </r>
  <r>
    <s v="CUST0310"/>
    <n v="47"/>
    <x v="206"/>
    <x v="147"/>
    <x v="303"/>
    <n v="6"/>
    <x v="1"/>
    <n v="46720"/>
    <n v="0.24335932570375099"/>
    <s v="employed"/>
    <n v="16"/>
    <s v="Gold"/>
    <s v="New York"/>
    <s v="Late"/>
    <s v="Missed"/>
    <s v="Missed"/>
    <s v="Late"/>
    <s v="On-time"/>
    <s v="Late"/>
    <m/>
    <m/>
    <m/>
    <m/>
  </r>
  <r>
    <s v="CUST0311"/>
    <n v="59"/>
    <x v="92"/>
    <x v="29"/>
    <x v="304"/>
    <n v="1"/>
    <x v="0"/>
    <n v="82909"/>
    <n v="0.242079984227867"/>
    <s v="EMP"/>
    <n v="14"/>
    <s v="Gold"/>
    <s v="New York"/>
    <s v="Late"/>
    <s v="Late"/>
    <s v="On-time"/>
    <s v="Missed"/>
    <s v="Late"/>
    <s v="On-time"/>
    <m/>
    <m/>
    <m/>
    <m/>
  </r>
  <r>
    <s v="CUST0312"/>
    <n v="52"/>
    <x v="207"/>
    <x v="11"/>
    <x v="305"/>
    <n v="3"/>
    <x v="1"/>
    <n v="31674"/>
    <n v="0.27750267007116802"/>
    <s v="employed"/>
    <n v="6"/>
    <s v="Business"/>
    <s v="Chicago"/>
    <s v="Missed"/>
    <s v="Late"/>
    <s v="Missed"/>
    <s v="Missed"/>
    <s v="Late"/>
    <s v="Missed"/>
    <m/>
    <m/>
    <m/>
    <m/>
  </r>
  <r>
    <s v="CUST0313"/>
    <n v="24"/>
    <x v="208"/>
    <x v="21"/>
    <x v="306"/>
    <n v="4"/>
    <x v="0"/>
    <n v="62253"/>
    <n v="0.36362373753789201"/>
    <s v="Unemployed"/>
    <n v="18"/>
    <s v="Gold"/>
    <s v="Houston"/>
    <s v="Missed"/>
    <s v="On-time"/>
    <s v="On-time"/>
    <s v="On-time"/>
    <s v="Late"/>
    <s v="Late"/>
    <m/>
    <m/>
    <m/>
    <m/>
  </r>
  <r>
    <s v="CUST0314"/>
    <n v="33"/>
    <x v="64"/>
    <x v="191"/>
    <x v="307"/>
    <n v="6"/>
    <x v="0"/>
    <n v="15938"/>
    <n v="0.24893047302458299"/>
    <s v="retired"/>
    <n v="2"/>
    <s v="Business"/>
    <s v="Chicago"/>
    <s v="On-time"/>
    <s v="Missed"/>
    <s v="Late"/>
    <s v="On-time"/>
    <s v="Late"/>
    <s v="On-time"/>
    <m/>
    <m/>
    <m/>
    <m/>
  </r>
  <r>
    <s v="CUST0315"/>
    <n v="43"/>
    <x v="115"/>
    <x v="33"/>
    <x v="308"/>
    <n v="3"/>
    <x v="0"/>
    <n v="612"/>
    <n v="0.28807375264097501"/>
    <s v="employed"/>
    <n v="10"/>
    <s v="Gold"/>
    <s v="Chicago"/>
    <s v="Late"/>
    <s v="Late"/>
    <s v="Missed"/>
    <s v="Missed"/>
    <s v="Late"/>
    <s v="Late"/>
    <m/>
    <m/>
    <m/>
    <m/>
  </r>
  <r>
    <s v="CUST0316"/>
    <n v="65"/>
    <x v="147"/>
    <x v="192"/>
    <x v="309"/>
    <n v="4"/>
    <x v="0"/>
    <n v="13355"/>
    <n v="0.32735938163394401"/>
    <s v="Unemployed"/>
    <n v="19"/>
    <s v="Platinum"/>
    <s v="Los Angeles"/>
    <s v="Late"/>
    <s v="On-time"/>
    <s v="Late"/>
    <s v="On-time"/>
    <s v="On-time"/>
    <s v="On-time"/>
    <m/>
    <m/>
    <m/>
    <m/>
  </r>
  <r>
    <s v="CUST0317"/>
    <n v="74"/>
    <x v="181"/>
    <x v="193"/>
    <x v="310"/>
    <n v="0"/>
    <x v="0"/>
    <n v="10778"/>
    <n v="0.20951080739521299"/>
    <s v="employed"/>
    <n v="18"/>
    <s v="Gold"/>
    <s v="Los Angeles"/>
    <s v="On-time"/>
    <s v="On-time"/>
    <s v="Late"/>
    <s v="Missed"/>
    <s v="Missed"/>
    <s v="On-time"/>
    <m/>
    <m/>
    <m/>
    <m/>
  </r>
  <r>
    <s v="CUST0318"/>
    <n v="69"/>
    <x v="209"/>
    <x v="160"/>
    <x v="311"/>
    <n v="0"/>
    <x v="1"/>
    <n v="66118"/>
    <n v="0.20318917116708801"/>
    <s v="Self-employed"/>
    <n v="8"/>
    <s v="Student"/>
    <s v="Houston"/>
    <s v="On-time"/>
    <s v="Late"/>
    <s v="On-time"/>
    <s v="On-time"/>
    <s v="Missed"/>
    <s v="Late"/>
    <m/>
    <m/>
    <m/>
    <m/>
  </r>
  <r>
    <s v="CUST0319"/>
    <n v="66"/>
    <x v="210"/>
    <x v="194"/>
    <x v="312"/>
    <n v="6"/>
    <x v="0"/>
    <n v="30443"/>
    <n v="0.28417361185959999"/>
    <s v="retired"/>
    <n v="9"/>
    <s v="Business"/>
    <s v="Phoenix"/>
    <s v="Missed"/>
    <s v="Missed"/>
    <s v="Missed"/>
    <s v="Late"/>
    <s v="On-time"/>
    <s v="On-time"/>
    <m/>
    <m/>
    <m/>
    <m/>
  </r>
  <r>
    <s v="CUST0320"/>
    <n v="19"/>
    <x v="194"/>
    <x v="136"/>
    <x v="313"/>
    <n v="3"/>
    <x v="1"/>
    <n v="86846"/>
    <n v="0.29741788149516402"/>
    <s v="employed"/>
    <n v="1"/>
    <s v="Standard"/>
    <s v="Los Angeles"/>
    <s v="Late"/>
    <s v="Missed"/>
    <s v="On-time"/>
    <s v="On-time"/>
    <s v="Missed"/>
    <s v="On-time"/>
    <m/>
    <m/>
    <m/>
    <m/>
  </r>
  <r>
    <s v="CUST0321"/>
    <n v="18"/>
    <x v="120"/>
    <x v="127"/>
    <x v="314"/>
    <n v="2"/>
    <x v="0"/>
    <n v="82382"/>
    <n v="0.343388548000164"/>
    <s v="Unemployed"/>
    <n v="0"/>
    <s v="Standard"/>
    <s v="Phoenix"/>
    <s v="Missed"/>
    <s v="On-time"/>
    <s v="Late"/>
    <s v="Missed"/>
    <s v="Missed"/>
    <s v="Late"/>
    <m/>
    <m/>
    <m/>
    <m/>
  </r>
  <r>
    <s v="CUST0322"/>
    <n v="65"/>
    <x v="54"/>
    <x v="33"/>
    <x v="315"/>
    <n v="4"/>
    <x v="0"/>
    <n v="95303"/>
    <n v="0.367188657495155"/>
    <s v="retired"/>
    <n v="15"/>
    <s v="Business"/>
    <s v="New York"/>
    <s v="Late"/>
    <s v="On-time"/>
    <s v="On-time"/>
    <s v="Late"/>
    <s v="Late"/>
    <s v="On-time"/>
    <m/>
    <m/>
    <m/>
    <m/>
  </r>
  <r>
    <s v="CUST0323"/>
    <n v="29"/>
    <x v="211"/>
    <x v="51"/>
    <x v="316"/>
    <n v="1"/>
    <x v="0"/>
    <n v="87110"/>
    <n v="0.190093717942835"/>
    <s v="EMP"/>
    <n v="17"/>
    <s v="Platinum"/>
    <s v="Los Angeles"/>
    <s v="Missed"/>
    <s v="On-time"/>
    <s v="Missed"/>
    <s v="Missed"/>
    <s v="Missed"/>
    <s v="On-time"/>
    <m/>
    <m/>
    <m/>
    <m/>
  </r>
  <r>
    <s v="CUST0324"/>
    <n v="22"/>
    <x v="212"/>
    <x v="195"/>
    <x v="317"/>
    <n v="3"/>
    <x v="0"/>
    <n v="80430"/>
    <n v="0.21879150680564299"/>
    <s v="Self-employed"/>
    <n v="16"/>
    <s v="Gold"/>
    <s v="Los Angeles"/>
    <s v="On-time"/>
    <s v="On-time"/>
    <s v="On-time"/>
    <s v="On-time"/>
    <s v="Missed"/>
    <s v="On-time"/>
    <m/>
    <m/>
    <m/>
    <m/>
  </r>
  <r>
    <s v="CUST0325"/>
    <n v="54"/>
    <x v="35"/>
    <x v="196"/>
    <x v="318"/>
    <n v="1"/>
    <x v="0"/>
    <n v="32615"/>
    <n v="0.20292477124368899"/>
    <s v="Unemployed"/>
    <n v="5"/>
    <s v="Platinum"/>
    <s v="Houston"/>
    <s v="Missed"/>
    <s v="On-time"/>
    <s v="Missed"/>
    <s v="Late"/>
    <s v="On-time"/>
    <s v="Late"/>
    <m/>
    <m/>
    <m/>
    <m/>
  </r>
  <r>
    <s v="CUST0326"/>
    <n v="49"/>
    <x v="76"/>
    <x v="171"/>
    <x v="50"/>
    <n v="3"/>
    <x v="0"/>
    <n v="62561"/>
    <n v="0.441244740159142"/>
    <s v="EMP"/>
    <n v="13"/>
    <s v="Standard"/>
    <s v="Phoenix"/>
    <s v="On-time"/>
    <s v="Missed"/>
    <s v="On-time"/>
    <s v="Missed"/>
    <s v="Missed"/>
    <s v="Missed"/>
    <m/>
    <m/>
    <m/>
    <m/>
  </r>
  <r>
    <s v="CUST0327"/>
    <n v="72"/>
    <x v="42"/>
    <x v="154"/>
    <x v="319"/>
    <n v="2"/>
    <x v="0"/>
    <n v="3081"/>
    <n v="0.28797294097974602"/>
    <s v="employed"/>
    <n v="14"/>
    <s v="Business"/>
    <s v="Los Angeles"/>
    <s v="Late"/>
    <s v="Late"/>
    <s v="Missed"/>
    <s v="On-time"/>
    <s v="Missed"/>
    <s v="Late"/>
    <m/>
    <m/>
    <m/>
    <m/>
  </r>
  <r>
    <s v="CUST0328"/>
    <n v="26"/>
    <x v="40"/>
    <x v="195"/>
    <x v="320"/>
    <n v="2"/>
    <x v="0"/>
    <n v="43927"/>
    <n v="0.30161292952450203"/>
    <s v="EMP"/>
    <n v="13"/>
    <s v="Business"/>
    <s v="Los Angeles"/>
    <s v="Missed"/>
    <s v="Missed"/>
    <s v="Missed"/>
    <s v="Late"/>
    <s v="Missed"/>
    <s v="Missed"/>
    <m/>
    <m/>
    <m/>
    <m/>
  </r>
  <r>
    <s v="CUST0329"/>
    <n v="58"/>
    <x v="213"/>
    <x v="197"/>
    <x v="321"/>
    <n v="6"/>
    <x v="0"/>
    <n v="32615"/>
    <n v="0.30577743640135102"/>
    <s v="Unemployed"/>
    <n v="2"/>
    <s v="Platinum"/>
    <s v="Houston"/>
    <s v="On-time"/>
    <s v="Missed"/>
    <s v="Late"/>
    <s v="Missed"/>
    <s v="On-time"/>
    <s v="Late"/>
    <m/>
    <m/>
    <m/>
    <m/>
  </r>
  <r>
    <s v="CUST0330"/>
    <n v="52"/>
    <x v="214"/>
    <x v="198"/>
    <x v="322"/>
    <n v="6"/>
    <x v="0"/>
    <n v="92183"/>
    <n v="0.22843299862823599"/>
    <s v="Unemployed"/>
    <n v="18"/>
    <s v="Platinum"/>
    <s v="Houston"/>
    <s v="Late"/>
    <s v="On-time"/>
    <s v="On-time"/>
    <s v="Late"/>
    <s v="On-time"/>
    <s v="On-time"/>
    <m/>
    <m/>
    <m/>
    <m/>
  </r>
  <r>
    <s v="CUST0331"/>
    <n v="36"/>
    <x v="56"/>
    <x v="97"/>
    <x v="323"/>
    <n v="2"/>
    <x v="0"/>
    <n v="39259"/>
    <n v="0.45642695189460297"/>
    <s v="employed"/>
    <n v="11"/>
    <s v="Gold"/>
    <s v="Phoenix"/>
    <s v="On-time"/>
    <s v="Missed"/>
    <s v="Missed"/>
    <s v="On-time"/>
    <s v="Missed"/>
    <s v="Late"/>
    <m/>
    <m/>
    <m/>
    <m/>
  </r>
  <r>
    <s v="CUST0332"/>
    <n v="65"/>
    <x v="203"/>
    <x v="43"/>
    <x v="324"/>
    <n v="5"/>
    <x v="0"/>
    <n v="17023"/>
    <n v="0.34110266548187201"/>
    <s v="EMP"/>
    <n v="1"/>
    <s v="Student"/>
    <s v="New York"/>
    <s v="On-time"/>
    <s v="Late"/>
    <s v="Late"/>
    <s v="Late"/>
    <s v="Missed"/>
    <s v="On-time"/>
    <m/>
    <m/>
    <m/>
    <m/>
  </r>
  <r>
    <s v="CUST0333"/>
    <n v="33"/>
    <x v="215"/>
    <x v="101"/>
    <x v="325"/>
    <n v="2"/>
    <x v="0"/>
    <n v="80150"/>
    <n v="0.30395905297779402"/>
    <s v="EMP"/>
    <n v="2"/>
    <s v="Student"/>
    <s v="New York"/>
    <s v="Missed"/>
    <s v="Late"/>
    <s v="Late"/>
    <s v="Missed"/>
    <s v="On-time"/>
    <s v="Late"/>
    <m/>
    <m/>
    <m/>
    <m/>
  </r>
  <r>
    <s v="CUST0334"/>
    <n v="20"/>
    <x v="148"/>
    <x v="199"/>
    <x v="326"/>
    <n v="0"/>
    <x v="0"/>
    <n v="27446"/>
    <n v="0.18947435788494299"/>
    <s v="employed"/>
    <n v="17"/>
    <s v="Gold"/>
    <s v="Chicago"/>
    <s v="Missed"/>
    <s v="Late"/>
    <s v="On-time"/>
    <s v="On-time"/>
    <s v="On-time"/>
    <s v="Missed"/>
    <m/>
    <m/>
    <m/>
    <m/>
  </r>
  <r>
    <s v="CUST0335"/>
    <n v="37"/>
    <x v="203"/>
    <x v="49"/>
    <x v="327"/>
    <n v="0"/>
    <x v="1"/>
    <n v="91557"/>
    <n v="0.183806750834375"/>
    <s v="EMP"/>
    <n v="0"/>
    <s v="Student"/>
    <s v="Los Angeles"/>
    <s v="On-time"/>
    <s v="On-time"/>
    <s v="Late"/>
    <s v="On-time"/>
    <s v="Missed"/>
    <s v="Late"/>
    <m/>
    <m/>
    <m/>
    <m/>
  </r>
  <r>
    <s v="CUST0336"/>
    <n v="41"/>
    <x v="15"/>
    <x v="183"/>
    <x v="328"/>
    <n v="5"/>
    <x v="0"/>
    <n v="44449"/>
    <n v="0.269109246839423"/>
    <s v="retired"/>
    <n v="19"/>
    <s v="Standard"/>
    <s v="Phoenix"/>
    <s v="Missed"/>
    <s v="Missed"/>
    <s v="Late"/>
    <s v="Missed"/>
    <s v="Missed"/>
    <s v="Late"/>
    <m/>
    <m/>
    <m/>
    <m/>
  </r>
  <r>
    <s v="CUST0337"/>
    <n v="71"/>
    <x v="130"/>
    <x v="200"/>
    <x v="329"/>
    <n v="4"/>
    <x v="1"/>
    <n v="31316"/>
    <n v="0.23000082064281699"/>
    <s v="employed"/>
    <n v="5"/>
    <s v="Student"/>
    <s v="Los Angeles"/>
    <s v="On-time"/>
    <s v="Late"/>
    <s v="On-time"/>
    <s v="On-time"/>
    <s v="On-time"/>
    <s v="Late"/>
    <m/>
    <m/>
    <m/>
    <m/>
  </r>
  <r>
    <s v="CUST0338"/>
    <n v="73"/>
    <x v="216"/>
    <x v="76"/>
    <x v="330"/>
    <n v="1"/>
    <x v="0"/>
    <n v="61186"/>
    <n v="0.193255565445344"/>
    <s v="Self-employed"/>
    <n v="4"/>
    <s v="Gold"/>
    <s v="Phoenix"/>
    <s v="On-time"/>
    <s v="Missed"/>
    <s v="Late"/>
    <s v="Late"/>
    <s v="On-time"/>
    <s v="Missed"/>
    <m/>
    <m/>
    <m/>
    <m/>
  </r>
  <r>
    <s v="CUST0339"/>
    <n v="50"/>
    <x v="127"/>
    <x v="188"/>
    <x v="331"/>
    <n v="3"/>
    <x v="1"/>
    <n v="51016"/>
    <n v="0.26290419804284398"/>
    <s v="Unemployed"/>
    <n v="0"/>
    <s v="Student"/>
    <s v="Phoenix"/>
    <s v="Late"/>
    <s v="Missed"/>
    <s v="Missed"/>
    <s v="Late"/>
    <s v="Missed"/>
    <s v="Late"/>
    <m/>
    <m/>
    <m/>
    <m/>
  </r>
  <r>
    <s v="CUST0340"/>
    <n v="41"/>
    <x v="152"/>
    <x v="51"/>
    <x v="332"/>
    <n v="3"/>
    <x v="1"/>
    <n v="86488"/>
    <n v="0.27835719717241098"/>
    <s v="Self-employed"/>
    <n v="18"/>
    <s v="Business"/>
    <s v="Phoenix"/>
    <s v="Late"/>
    <s v="Late"/>
    <s v="On-time"/>
    <s v="Missed"/>
    <s v="Late"/>
    <s v="Missed"/>
    <m/>
    <m/>
    <m/>
    <m/>
  </r>
  <r>
    <s v="CUST0341"/>
    <n v="69"/>
    <x v="11"/>
    <x v="80"/>
    <x v="333"/>
    <n v="5"/>
    <x v="0"/>
    <n v="11308"/>
    <n v="0.31417854204602602"/>
    <s v="retired"/>
    <n v="0"/>
    <s v="Platinum"/>
    <s v="Los Angeles"/>
    <s v="On-time"/>
    <s v="Late"/>
    <s v="Late"/>
    <s v="Missed"/>
    <s v="Late"/>
    <s v="Missed"/>
    <m/>
    <m/>
    <m/>
    <m/>
  </r>
  <r>
    <s v="CUST0342"/>
    <n v="28"/>
    <x v="103"/>
    <x v="88"/>
    <x v="334"/>
    <n v="0"/>
    <x v="0"/>
    <n v="62253"/>
    <n v="0.24960805286257301"/>
    <s v="retired"/>
    <n v="15"/>
    <s v="Standard"/>
    <s v="Houston"/>
    <s v="Missed"/>
    <s v="Missed"/>
    <s v="On-time"/>
    <s v="Late"/>
    <s v="Late"/>
    <s v="Missed"/>
    <m/>
    <m/>
    <m/>
    <m/>
  </r>
  <r>
    <s v="CUST0343"/>
    <n v="66"/>
    <x v="217"/>
    <x v="201"/>
    <x v="335"/>
    <n v="6"/>
    <x v="0"/>
    <n v="45776"/>
    <n v="0.199239930533996"/>
    <s v="employed"/>
    <n v="11"/>
    <s v="Business"/>
    <s v="Los Angeles"/>
    <s v="Late"/>
    <s v="On-time"/>
    <s v="Missed"/>
    <s v="Late"/>
    <s v="Missed"/>
    <s v="On-time"/>
    <m/>
    <m/>
    <m/>
    <m/>
  </r>
  <r>
    <s v="CUST0344"/>
    <n v="25"/>
    <x v="109"/>
    <x v="18"/>
    <x v="336"/>
    <n v="3"/>
    <x v="0"/>
    <n v="72809"/>
    <n v="0.20270791140087499"/>
    <s v="employed"/>
    <n v="7"/>
    <s v="Business"/>
    <s v="Phoenix"/>
    <s v="On-time"/>
    <s v="On-time"/>
    <s v="On-time"/>
    <s v="On-time"/>
    <s v="Missed"/>
    <s v="Late"/>
    <m/>
    <m/>
    <m/>
    <m/>
  </r>
  <r>
    <s v="CUST0345"/>
    <n v="53"/>
    <x v="204"/>
    <x v="202"/>
    <x v="337"/>
    <n v="0"/>
    <x v="0"/>
    <n v="89660"/>
    <n v="0.42129727292261798"/>
    <s v="employed"/>
    <n v="15"/>
    <s v="Gold"/>
    <s v="Chicago"/>
    <s v="On-time"/>
    <s v="Missed"/>
    <s v="On-time"/>
    <s v="On-time"/>
    <s v="On-time"/>
    <s v="Late"/>
    <m/>
    <m/>
    <m/>
    <m/>
  </r>
  <r>
    <s v="CUST0346"/>
    <n v="55"/>
    <x v="27"/>
    <x v="96"/>
    <x v="338"/>
    <n v="4"/>
    <x v="0"/>
    <n v="42551"/>
    <n v="0.17482423136382499"/>
    <s v="employed"/>
    <n v="0"/>
    <s v="Platinum"/>
    <s v="New York"/>
    <s v="On-time"/>
    <s v="On-time"/>
    <s v="On-time"/>
    <s v="Late"/>
    <s v="Missed"/>
    <s v="Missed"/>
    <m/>
    <m/>
    <m/>
    <m/>
  </r>
  <r>
    <s v="CUST0347"/>
    <n v="57"/>
    <x v="13"/>
    <x v="5"/>
    <x v="339"/>
    <n v="1"/>
    <x v="0"/>
    <n v="89537"/>
    <n v="0.33631822982912701"/>
    <s v="EMP"/>
    <n v="3"/>
    <s v="Platinum"/>
    <s v="Phoenix"/>
    <s v="On-time"/>
    <s v="Late"/>
    <s v="Missed"/>
    <s v="Missed"/>
    <s v="Missed"/>
    <s v="Missed"/>
    <m/>
    <m/>
    <m/>
    <m/>
  </r>
  <r>
    <s v="CUST0348"/>
    <n v="37"/>
    <x v="218"/>
    <x v="203"/>
    <x v="340"/>
    <n v="4"/>
    <x v="0"/>
    <n v="56061"/>
    <n v="0.35195463297743901"/>
    <s v="retired"/>
    <n v="9"/>
    <s v="Standard"/>
    <s v="Chicago"/>
    <s v="Late"/>
    <s v="On-time"/>
    <s v="Late"/>
    <s v="On-time"/>
    <s v="Late"/>
    <s v="On-time"/>
    <m/>
    <m/>
    <m/>
    <m/>
  </r>
  <r>
    <s v="CUST0349"/>
    <n v="52"/>
    <x v="219"/>
    <x v="25"/>
    <x v="341"/>
    <n v="5"/>
    <x v="0"/>
    <n v="76567"/>
    <n v="0.287872452416433"/>
    <s v="Self-employed"/>
    <n v="10"/>
    <s v="Gold"/>
    <s v="Houston"/>
    <s v="Missed"/>
    <s v="On-time"/>
    <s v="Missed"/>
    <s v="Missed"/>
    <s v="On-time"/>
    <s v="On-time"/>
    <m/>
    <m/>
    <m/>
    <m/>
  </r>
  <r>
    <s v="CUST0350"/>
    <n v="65"/>
    <x v="160"/>
    <x v="1"/>
    <x v="342"/>
    <n v="2"/>
    <x v="0"/>
    <n v="79013"/>
    <n v="0.47678290584051702"/>
    <s v="Self-employed"/>
    <n v="16"/>
    <s v="Standard"/>
    <s v="Phoenix"/>
    <s v="On-time"/>
    <s v="Missed"/>
    <s v="Late"/>
    <s v="Late"/>
    <s v="On-time"/>
    <s v="Late"/>
    <m/>
    <m/>
    <m/>
    <m/>
  </r>
  <r>
    <s v="CUST0351"/>
    <n v="42"/>
    <x v="220"/>
    <x v="169"/>
    <x v="343"/>
    <n v="2"/>
    <x v="1"/>
    <n v="52259"/>
    <n v="0.35017189930276899"/>
    <s v="Self-employed"/>
    <n v="6"/>
    <s v="Student"/>
    <s v="Chicago"/>
    <s v="Missed"/>
    <s v="On-time"/>
    <s v="Late"/>
    <s v="On-time"/>
    <s v="Late"/>
    <s v="Missed"/>
    <m/>
    <m/>
    <m/>
    <m/>
  </r>
  <r>
    <s v="CUST0352"/>
    <n v="52"/>
    <x v="221"/>
    <x v="76"/>
    <x v="344"/>
    <n v="2"/>
    <x v="0"/>
    <n v="2200"/>
    <n v="0.48429030483046498"/>
    <s v="Self-employed"/>
    <n v="11"/>
    <s v="Business"/>
    <s v="Phoenix"/>
    <s v="Missed"/>
    <s v="Late"/>
    <s v="Late"/>
    <s v="Late"/>
    <s v="Late"/>
    <s v="Missed"/>
    <m/>
    <m/>
    <m/>
    <m/>
  </r>
  <r>
    <s v="CUST0353"/>
    <n v="42"/>
    <x v="207"/>
    <x v="173"/>
    <x v="345"/>
    <n v="4"/>
    <x v="0"/>
    <n v="47695"/>
    <n v="0.23489359980851199"/>
    <s v="employed"/>
    <n v="6"/>
    <s v="Standard"/>
    <s v="Los Angeles"/>
    <s v="Missed"/>
    <s v="Missed"/>
    <s v="Late"/>
    <s v="Late"/>
    <s v="On-time"/>
    <s v="Missed"/>
    <m/>
    <m/>
    <m/>
    <m/>
  </r>
  <r>
    <s v="CUST0354"/>
    <n v="46"/>
    <x v="210"/>
    <x v="178"/>
    <x v="346"/>
    <n v="3"/>
    <x v="0"/>
    <n v="86828"/>
    <n v="0.23660545901065799"/>
    <s v="Self-employed"/>
    <n v="11"/>
    <s v="Business"/>
    <s v="Chicago"/>
    <s v="On-time"/>
    <s v="Missed"/>
    <s v="On-time"/>
    <s v="Missed"/>
    <s v="Missed"/>
    <s v="Late"/>
    <m/>
    <m/>
    <m/>
    <m/>
  </r>
  <r>
    <s v="CUST0355"/>
    <n v="35"/>
    <x v="222"/>
    <x v="5"/>
    <x v="347"/>
    <n v="1"/>
    <x v="0"/>
    <n v="24623"/>
    <n v="0.35275371586800103"/>
    <s v="EMP"/>
    <n v="14"/>
    <s v="Gold"/>
    <s v="Los Angeles"/>
    <s v="Missed"/>
    <s v="On-time"/>
    <s v="Missed"/>
    <s v="On-time"/>
    <s v="On-time"/>
    <s v="Late"/>
    <m/>
    <m/>
    <m/>
    <m/>
  </r>
  <r>
    <s v="CUST0356"/>
    <n v="63"/>
    <x v="137"/>
    <x v="30"/>
    <x v="348"/>
    <n v="2"/>
    <x v="1"/>
    <n v="4265"/>
    <n v="0.27385343626807901"/>
    <s v="employed"/>
    <n v="1"/>
    <s v="Student"/>
    <s v="Los Angeles"/>
    <s v="On-time"/>
    <s v="On-time"/>
    <s v="Missed"/>
    <s v="Late"/>
    <s v="Missed"/>
    <s v="Late"/>
    <m/>
    <m/>
    <m/>
    <m/>
  </r>
  <r>
    <s v="CUST0357"/>
    <n v="35"/>
    <x v="119"/>
    <x v="39"/>
    <x v="349"/>
    <n v="5"/>
    <x v="1"/>
    <n v="77348"/>
    <n v="0.46856654248920099"/>
    <s v="Self-employed"/>
    <n v="13"/>
    <s v="Gold"/>
    <s v="Chicago"/>
    <s v="Missed"/>
    <s v="On-time"/>
    <s v="Missed"/>
    <s v="On-time"/>
    <s v="Late"/>
    <s v="Missed"/>
    <m/>
    <m/>
    <m/>
    <m/>
  </r>
  <r>
    <s v="CUST0358"/>
    <n v="19"/>
    <x v="223"/>
    <x v="70"/>
    <x v="350"/>
    <n v="5"/>
    <x v="1"/>
    <n v="11251"/>
    <n v="0.334170038363093"/>
    <s v="employed"/>
    <n v="12"/>
    <s v="Student"/>
    <s v="New York"/>
    <s v="Missed"/>
    <s v="On-time"/>
    <s v="Late"/>
    <s v="On-time"/>
    <s v="Late"/>
    <s v="On-time"/>
    <m/>
    <m/>
    <m/>
    <m/>
  </r>
  <r>
    <s v="CUST0359"/>
    <n v="71"/>
    <x v="195"/>
    <x v="22"/>
    <x v="351"/>
    <n v="2"/>
    <x v="0"/>
    <n v="25807"/>
    <n v="0.19554257801432801"/>
    <s v="Unemployed"/>
    <n v="3"/>
    <s v="Student"/>
    <s v="Chicago"/>
    <s v="On-time"/>
    <s v="On-time"/>
    <s v="Missed"/>
    <s v="Missed"/>
    <s v="On-time"/>
    <s v="Missed"/>
    <m/>
    <m/>
    <m/>
    <m/>
  </r>
  <r>
    <s v="CUST0360"/>
    <n v="52"/>
    <x v="35"/>
    <x v="13"/>
    <x v="352"/>
    <n v="2"/>
    <x v="0"/>
    <n v="78035"/>
    <n v="0.126318359145597"/>
    <s v="Unemployed"/>
    <n v="13"/>
    <s v="Business"/>
    <s v="New York"/>
    <s v="Missed"/>
    <s v="On-time"/>
    <s v="On-time"/>
    <s v="Missed"/>
    <s v="Late"/>
    <s v="Late"/>
    <m/>
    <m/>
    <m/>
    <m/>
  </r>
  <r>
    <s v="CUST0361"/>
    <n v="33"/>
    <x v="4"/>
    <x v="204"/>
    <x v="353"/>
    <n v="1"/>
    <x v="0"/>
    <n v="68998"/>
    <n v="0.292176140765673"/>
    <s v="Unemployed"/>
    <n v="13"/>
    <s v="Gold"/>
    <s v="Phoenix"/>
    <s v="On-time"/>
    <s v="Missed"/>
    <s v="Late"/>
    <s v="On-time"/>
    <s v="On-time"/>
    <s v="Missed"/>
    <m/>
    <m/>
    <m/>
    <m/>
  </r>
  <r>
    <s v="CUST0362"/>
    <n v="58"/>
    <x v="224"/>
    <x v="9"/>
    <x v="354"/>
    <n v="2"/>
    <x v="0"/>
    <n v="53553"/>
    <n v="0.29108768704667598"/>
    <s v="employed"/>
    <n v="15"/>
    <s v="Gold"/>
    <s v="Phoenix"/>
    <s v="Late"/>
    <s v="Missed"/>
    <s v="Late"/>
    <s v="On-time"/>
    <s v="On-time"/>
    <s v="Late"/>
    <m/>
    <m/>
    <m/>
    <m/>
  </r>
  <r>
    <s v="CUST0363"/>
    <n v="53"/>
    <x v="52"/>
    <x v="33"/>
    <x v="355"/>
    <n v="1"/>
    <x v="1"/>
    <n v="86447"/>
    <n v="0.33137659233083799"/>
    <s v="Self-employed"/>
    <n v="6"/>
    <s v="Standard"/>
    <s v="Chicago"/>
    <s v="Missed"/>
    <s v="Missed"/>
    <s v="Missed"/>
    <s v="Missed"/>
    <s v="Late"/>
    <s v="Missed"/>
    <m/>
    <m/>
    <m/>
    <m/>
  </r>
  <r>
    <s v="CUST0364"/>
    <n v="50"/>
    <x v="225"/>
    <x v="147"/>
    <x v="356"/>
    <n v="5"/>
    <x v="0"/>
    <n v="31449"/>
    <n v="0.42106905737558997"/>
    <s v="retired"/>
    <n v="18"/>
    <s v="Gold"/>
    <s v="Phoenix"/>
    <s v="Late"/>
    <s v="On-time"/>
    <s v="On-time"/>
    <s v="Late"/>
    <s v="Missed"/>
    <s v="Late"/>
    <m/>
    <m/>
    <m/>
    <m/>
  </r>
  <r>
    <s v="CUST0365"/>
    <n v="21"/>
    <x v="9"/>
    <x v="178"/>
    <x v="357"/>
    <n v="2"/>
    <x v="0"/>
    <n v="13761"/>
    <n v="0.40791133039939198"/>
    <s v="retired"/>
    <n v="1"/>
    <s v="Standard"/>
    <s v="Houston"/>
    <s v="Missed"/>
    <s v="On-time"/>
    <s v="Late"/>
    <s v="Late"/>
    <s v="On-time"/>
    <s v="Late"/>
    <m/>
    <m/>
    <m/>
    <m/>
  </r>
  <r>
    <s v="CUST0366"/>
    <n v="50"/>
    <x v="226"/>
    <x v="55"/>
    <x v="358"/>
    <n v="4"/>
    <x v="0"/>
    <n v="23125"/>
    <n v="0.242109896766356"/>
    <s v="retired"/>
    <n v="9"/>
    <s v="Platinum"/>
    <s v="Los Angeles"/>
    <s v="Missed"/>
    <s v="On-time"/>
    <s v="Late"/>
    <s v="Missed"/>
    <s v="Missed"/>
    <s v="On-time"/>
    <m/>
    <m/>
    <m/>
    <m/>
  </r>
  <r>
    <s v="CUST0367"/>
    <n v="31"/>
    <x v="189"/>
    <x v="205"/>
    <x v="359"/>
    <n v="6"/>
    <x v="0"/>
    <n v="50310"/>
    <n v="0.17061805981955699"/>
    <s v="employed"/>
    <n v="17"/>
    <s v="Platinum"/>
    <s v="Los Angeles"/>
    <s v="Missed"/>
    <s v="On-time"/>
    <s v="On-time"/>
    <s v="Missed"/>
    <s v="Late"/>
    <s v="Late"/>
    <m/>
    <m/>
    <m/>
    <m/>
  </r>
  <r>
    <s v="CUST0368"/>
    <n v="38"/>
    <x v="101"/>
    <x v="28"/>
    <x v="360"/>
    <n v="4"/>
    <x v="0"/>
    <n v="74288"/>
    <n v="0.17658788649909199"/>
    <s v="EMP"/>
    <n v="16"/>
    <s v="Platinum"/>
    <s v="New York"/>
    <s v="Late"/>
    <s v="Missed"/>
    <s v="Late"/>
    <s v="Late"/>
    <s v="On-time"/>
    <s v="Missed"/>
    <m/>
    <m/>
    <m/>
    <m/>
  </r>
  <r>
    <s v="CUST0369"/>
    <n v="65"/>
    <x v="227"/>
    <x v="72"/>
    <x v="361"/>
    <n v="5"/>
    <x v="0"/>
    <n v="24670"/>
    <n v="0.226319829467862"/>
    <s v="employed"/>
    <n v="4"/>
    <s v="Gold"/>
    <s v="Phoenix"/>
    <s v="Late"/>
    <s v="On-time"/>
    <s v="Missed"/>
    <s v="On-time"/>
    <s v="On-time"/>
    <s v="On-time"/>
    <m/>
    <m/>
    <m/>
    <m/>
  </r>
  <r>
    <s v="CUST0370"/>
    <n v="37"/>
    <x v="38"/>
    <x v="206"/>
    <x v="362"/>
    <n v="1"/>
    <x v="0"/>
    <n v="62561"/>
    <n v="0.263326845196098"/>
    <s v="employed"/>
    <n v="11"/>
    <s v="Gold"/>
    <s v="New York"/>
    <s v="On-time"/>
    <s v="Missed"/>
    <s v="On-time"/>
    <s v="Late"/>
    <s v="Late"/>
    <s v="Missed"/>
    <m/>
    <m/>
    <m/>
    <m/>
  </r>
  <r>
    <s v="CUST0371"/>
    <n v="73"/>
    <x v="38"/>
    <x v="207"/>
    <x v="363"/>
    <n v="4"/>
    <x v="0"/>
    <n v="91970"/>
    <n v="0.33050621389651602"/>
    <s v="Unemployed"/>
    <n v="5"/>
    <s v="Standard"/>
    <s v="Los Angeles"/>
    <s v="Late"/>
    <s v="Late"/>
    <s v="Late"/>
    <s v="Missed"/>
    <s v="Missed"/>
    <s v="Missed"/>
    <m/>
    <m/>
    <m/>
    <m/>
  </r>
  <r>
    <s v="CUST0372"/>
    <n v="25"/>
    <x v="49"/>
    <x v="208"/>
    <x v="364"/>
    <n v="1"/>
    <x v="0"/>
    <n v="88423"/>
    <n v="0.21990324031040201"/>
    <s v="Unemployed"/>
    <n v="8"/>
    <s v="Student"/>
    <s v="Los Angeles"/>
    <s v="Missed"/>
    <s v="Late"/>
    <s v="Missed"/>
    <s v="On-time"/>
    <s v="Missed"/>
    <s v="Late"/>
    <m/>
    <m/>
    <m/>
    <m/>
  </r>
  <r>
    <s v="CUST0373"/>
    <n v="24"/>
    <x v="189"/>
    <x v="81"/>
    <x v="365"/>
    <n v="4"/>
    <x v="0"/>
    <n v="11251"/>
    <n v="0.328039197111331"/>
    <s v="retired"/>
    <n v="19"/>
    <s v="Standard"/>
    <s v="Phoenix"/>
    <s v="Late"/>
    <s v="On-time"/>
    <s v="On-time"/>
    <s v="Late"/>
    <s v="Missed"/>
    <s v="Late"/>
    <m/>
    <m/>
    <m/>
    <m/>
  </r>
  <r>
    <s v="CUST0374"/>
    <n v="20"/>
    <x v="176"/>
    <x v="103"/>
    <x v="366"/>
    <n v="4"/>
    <x v="0"/>
    <n v="85678"/>
    <n v="0.33620401458590499"/>
    <s v="retired"/>
    <n v="0"/>
    <s v="Platinum"/>
    <s v="Houston"/>
    <s v="On-time"/>
    <s v="On-time"/>
    <s v="On-time"/>
    <s v="Missed"/>
    <s v="Late"/>
    <s v="Late"/>
    <m/>
    <m/>
    <m/>
    <m/>
  </r>
  <r>
    <s v="CUST0375"/>
    <n v="34"/>
    <x v="228"/>
    <x v="84"/>
    <x v="367"/>
    <n v="1"/>
    <x v="1"/>
    <n v="48942"/>
    <n v="0.31433438825958798"/>
    <s v="Unemployed"/>
    <n v="14"/>
    <s v="Standard"/>
    <s v="Houston"/>
    <s v="Missed"/>
    <s v="Missed"/>
    <s v="Missed"/>
    <s v="Missed"/>
    <s v="On-time"/>
    <s v="Missed"/>
    <m/>
    <m/>
    <m/>
    <m/>
  </r>
  <r>
    <s v="CUST0376"/>
    <n v="50"/>
    <x v="38"/>
    <x v="58"/>
    <x v="368"/>
    <n v="3"/>
    <x v="0"/>
    <n v="7468"/>
    <n v="0.18713770029873"/>
    <s v="Self-employed"/>
    <n v="5"/>
    <s v="Student"/>
    <s v="Phoenix"/>
    <s v="Missed"/>
    <s v="Missed"/>
    <s v="Late"/>
    <s v="On-time"/>
    <s v="Missed"/>
    <s v="Late"/>
    <m/>
    <m/>
    <m/>
    <m/>
  </r>
  <r>
    <s v="CUST0377"/>
    <n v="65"/>
    <x v="38"/>
    <x v="105"/>
    <x v="369"/>
    <n v="4"/>
    <x v="0"/>
    <n v="26000"/>
    <n v="0.34678267252359501"/>
    <s v="EMP"/>
    <n v="18"/>
    <s v="Gold"/>
    <s v="Phoenix"/>
    <s v="On-time"/>
    <s v="Late"/>
    <s v="On-time"/>
    <s v="Late"/>
    <s v="On-time"/>
    <s v="On-time"/>
    <m/>
    <m/>
    <m/>
    <m/>
  </r>
  <r>
    <s v="CUST0378"/>
    <n v="29"/>
    <x v="141"/>
    <x v="151"/>
    <x v="370"/>
    <n v="2"/>
    <x v="0"/>
    <n v="82909"/>
    <n v="0.50812696287667203"/>
    <s v="EMP"/>
    <n v="17"/>
    <s v="Standard"/>
    <s v="New York"/>
    <s v="Late"/>
    <s v="Late"/>
    <s v="On-time"/>
    <s v="Missed"/>
    <s v="On-time"/>
    <s v="Late"/>
    <m/>
    <m/>
    <m/>
    <m/>
  </r>
  <r>
    <s v="CUST0379"/>
    <n v="68"/>
    <x v="38"/>
    <x v="94"/>
    <x v="371"/>
    <n v="6"/>
    <x v="0"/>
    <n v="27490"/>
    <n v="0.32458968269129002"/>
    <s v="EMP"/>
    <n v="5"/>
    <s v="Platinum"/>
    <s v="Phoenix"/>
    <s v="Missed"/>
    <s v="Missed"/>
    <s v="Missed"/>
    <s v="Late"/>
    <s v="On-time"/>
    <s v="Late"/>
    <m/>
    <m/>
    <m/>
    <m/>
  </r>
  <r>
    <s v="CUST0380"/>
    <n v="39"/>
    <x v="130"/>
    <x v="86"/>
    <x v="372"/>
    <n v="5"/>
    <x v="1"/>
    <n v="33472"/>
    <n v="0.1"/>
    <s v="EMP"/>
    <n v="12"/>
    <s v="Platinum"/>
    <s v="Houston"/>
    <s v="Late"/>
    <s v="Late"/>
    <s v="On-time"/>
    <s v="Missed"/>
    <s v="Missed"/>
    <s v="Late"/>
    <m/>
    <m/>
    <m/>
    <m/>
  </r>
  <r>
    <s v="CUST0381"/>
    <n v="72"/>
    <x v="1"/>
    <x v="16"/>
    <x v="373"/>
    <n v="3"/>
    <x v="0"/>
    <n v="13355"/>
    <n v="0.42408795720469"/>
    <s v="Unemployed"/>
    <n v="0"/>
    <s v="Gold"/>
    <s v="Phoenix"/>
    <s v="Late"/>
    <s v="On-time"/>
    <s v="Late"/>
    <s v="Missed"/>
    <s v="Late"/>
    <s v="On-time"/>
    <m/>
    <m/>
    <m/>
    <m/>
  </r>
  <r>
    <s v="CUST0382"/>
    <n v="39"/>
    <x v="165"/>
    <x v="130"/>
    <x v="374"/>
    <n v="1"/>
    <x v="0"/>
    <n v="6118"/>
    <n v="0.22972522233006101"/>
    <s v="employed"/>
    <n v="12"/>
    <s v="Standard"/>
    <s v="New York"/>
    <s v="Missed"/>
    <s v="On-time"/>
    <s v="On-time"/>
    <s v="Late"/>
    <s v="Late"/>
    <s v="On-time"/>
    <m/>
    <m/>
    <m/>
    <m/>
  </r>
  <r>
    <s v="CUST0383"/>
    <n v="63"/>
    <x v="138"/>
    <x v="156"/>
    <x v="375"/>
    <n v="3"/>
    <x v="0"/>
    <n v="98999"/>
    <n v="0.52657126904956897"/>
    <s v="Unemployed"/>
    <n v="6"/>
    <s v="Student"/>
    <s v="New York"/>
    <s v="Late"/>
    <s v="Late"/>
    <s v="Missed"/>
    <s v="Missed"/>
    <s v="Late"/>
    <s v="Missed"/>
    <m/>
    <m/>
    <m/>
    <m/>
  </r>
  <r>
    <s v="CUST0384"/>
    <n v="47"/>
    <x v="173"/>
    <x v="115"/>
    <x v="376"/>
    <n v="0"/>
    <x v="0"/>
    <n v="37658"/>
    <n v="0.31163634513659599"/>
    <s v="EMP"/>
    <n v="14"/>
    <s v="Gold"/>
    <s v="New York"/>
    <s v="On-time"/>
    <s v="Missed"/>
    <s v="Missed"/>
    <s v="Late"/>
    <s v="On-time"/>
    <s v="Missed"/>
    <m/>
    <m/>
    <m/>
    <m/>
  </r>
  <r>
    <s v="CUST0385"/>
    <n v="55"/>
    <x v="36"/>
    <x v="70"/>
    <x v="377"/>
    <n v="0"/>
    <x v="0"/>
    <n v="94309"/>
    <n v="0.13152993060141699"/>
    <s v="Unemployed"/>
    <n v="11"/>
    <s v="Standard"/>
    <s v="New York"/>
    <s v="Missed"/>
    <s v="Late"/>
    <s v="Late"/>
    <s v="Missed"/>
    <s v="On-time"/>
    <s v="Missed"/>
    <m/>
    <m/>
    <m/>
    <m/>
  </r>
  <r>
    <s v="CUST0386"/>
    <n v="55"/>
    <x v="229"/>
    <x v="31"/>
    <x v="378"/>
    <n v="4"/>
    <x v="0"/>
    <n v="33354"/>
    <n v="0.1"/>
    <s v="EMP"/>
    <n v="0"/>
    <s v="Business"/>
    <s v="Chicago"/>
    <s v="Missed"/>
    <s v="Missed"/>
    <s v="On-time"/>
    <s v="Late"/>
    <s v="Late"/>
    <s v="On-time"/>
    <m/>
    <m/>
    <m/>
    <m/>
  </r>
  <r>
    <s v="CUST0387"/>
    <n v="62"/>
    <x v="38"/>
    <x v="48"/>
    <x v="379"/>
    <n v="4"/>
    <x v="0"/>
    <n v="48942"/>
    <n v="0.45397407626758701"/>
    <s v="employed"/>
    <n v="14"/>
    <s v="Platinum"/>
    <s v="Phoenix"/>
    <s v="Late"/>
    <s v="Missed"/>
    <s v="Late"/>
    <s v="Missed"/>
    <s v="Missed"/>
    <s v="On-time"/>
    <m/>
    <m/>
    <m/>
    <m/>
  </r>
  <r>
    <s v="CUST0388"/>
    <n v="68"/>
    <x v="230"/>
    <x v="46"/>
    <x v="380"/>
    <n v="2"/>
    <x v="0"/>
    <n v="31674"/>
    <n v="0.41059049859172703"/>
    <s v="retired"/>
    <n v="3"/>
    <s v="Student"/>
    <s v="Los Angeles"/>
    <s v="Missed"/>
    <s v="Late"/>
    <s v="On-time"/>
    <s v="Late"/>
    <s v="On-time"/>
    <s v="Missed"/>
    <m/>
    <m/>
    <m/>
    <m/>
  </r>
  <r>
    <s v="CUST0389"/>
    <n v="71"/>
    <x v="231"/>
    <x v="209"/>
    <x v="381"/>
    <n v="6"/>
    <x v="0"/>
    <n v="3081"/>
    <n v="0.522601888576669"/>
    <s v="employed"/>
    <n v="12"/>
    <s v="Student"/>
    <s v="Phoenix"/>
    <s v="Missed"/>
    <s v="On-time"/>
    <s v="Missed"/>
    <s v="Late"/>
    <s v="Missed"/>
    <s v="Missed"/>
    <m/>
    <m/>
    <m/>
    <m/>
  </r>
  <r>
    <s v="CUST0390"/>
    <n v="25"/>
    <x v="232"/>
    <x v="93"/>
    <x v="382"/>
    <n v="5"/>
    <x v="1"/>
    <n v="16454"/>
    <n v="0.30109244855735501"/>
    <s v="employed"/>
    <n v="4"/>
    <s v="Student"/>
    <s v="Chicago"/>
    <s v="On-time"/>
    <s v="Missed"/>
    <s v="Late"/>
    <s v="Missed"/>
    <s v="Missed"/>
    <s v="Missed"/>
    <m/>
    <m/>
    <m/>
    <m/>
  </r>
  <r>
    <s v="CUST0391"/>
    <n v="44"/>
    <x v="233"/>
    <x v="210"/>
    <x v="383"/>
    <n v="3"/>
    <x v="0"/>
    <n v="63375"/>
    <n v="0.29434701166203098"/>
    <s v="Self-employed"/>
    <n v="1"/>
    <s v="Platinum"/>
    <s v="New York"/>
    <s v="Late"/>
    <s v="Late"/>
    <s v="Missed"/>
    <s v="Missed"/>
    <s v="On-time"/>
    <s v="Missed"/>
    <m/>
    <m/>
    <m/>
    <m/>
  </r>
  <r>
    <s v="CUST0392"/>
    <n v="44"/>
    <x v="234"/>
    <x v="206"/>
    <x v="384"/>
    <n v="0"/>
    <x v="0"/>
    <n v="11587"/>
    <n v="0.26172812078414398"/>
    <s v="Unemployed"/>
    <n v="0"/>
    <s v="Standard"/>
    <s v="Chicago"/>
    <s v="Late"/>
    <s v="On-time"/>
    <s v="Late"/>
    <s v="Late"/>
    <s v="Late"/>
    <s v="Missed"/>
    <m/>
    <m/>
    <m/>
    <m/>
  </r>
  <r>
    <s v="CUST0393"/>
    <n v="51"/>
    <x v="235"/>
    <x v="187"/>
    <x v="385"/>
    <n v="4"/>
    <x v="0"/>
    <n v="49798"/>
    <n v="0.23417097587407701"/>
    <s v="Self-employed"/>
    <n v="15"/>
    <s v="Gold"/>
    <s v="Houston"/>
    <s v="Late"/>
    <s v="Missed"/>
    <s v="On-time"/>
    <s v="On-time"/>
    <s v="Missed"/>
    <s v="Late"/>
    <m/>
    <m/>
    <m/>
    <m/>
  </r>
  <r>
    <s v="CUST0394"/>
    <n v="38"/>
    <x v="38"/>
    <x v="178"/>
    <x v="386"/>
    <n v="5"/>
    <x v="0"/>
    <n v="44454"/>
    <n v="0.260757044554218"/>
    <s v="Unemployed"/>
    <n v="5"/>
    <s v="Standard"/>
    <s v="Houston"/>
    <s v="On-time"/>
    <s v="Missed"/>
    <s v="Late"/>
    <s v="On-time"/>
    <s v="Missed"/>
    <s v="On-time"/>
    <m/>
    <m/>
    <m/>
    <m/>
  </r>
  <r>
    <s v="CUST0395"/>
    <n v="47"/>
    <x v="169"/>
    <x v="12"/>
    <x v="387"/>
    <n v="3"/>
    <x v="0"/>
    <n v="30575"/>
    <n v="0.32174633323240198"/>
    <s v="retired"/>
    <n v="15"/>
    <s v="Gold"/>
    <s v="Phoenix"/>
    <s v="On-time"/>
    <s v="Late"/>
    <s v="On-time"/>
    <s v="On-time"/>
    <s v="Missed"/>
    <s v="Missed"/>
    <m/>
    <m/>
    <m/>
    <m/>
  </r>
  <r>
    <s v="CUST0396"/>
    <n v="50"/>
    <x v="236"/>
    <x v="211"/>
    <x v="388"/>
    <n v="4"/>
    <x v="0"/>
    <n v="45776"/>
    <n v="0.215609921308789"/>
    <s v="employed"/>
    <n v="13"/>
    <s v="Student"/>
    <s v="Phoenix"/>
    <s v="On-time"/>
    <s v="On-time"/>
    <s v="On-time"/>
    <s v="Missed"/>
    <s v="Missed"/>
    <s v="Late"/>
    <m/>
    <m/>
    <m/>
    <m/>
  </r>
  <r>
    <s v="CUST0397"/>
    <n v="45"/>
    <x v="17"/>
    <x v="212"/>
    <x v="389"/>
    <n v="4"/>
    <x v="0"/>
    <n v="24835"/>
    <n v="0.13307106531260099"/>
    <s v="retired"/>
    <n v="2"/>
    <s v="Standard"/>
    <s v="Los Angeles"/>
    <s v="On-time"/>
    <s v="Late"/>
    <s v="On-time"/>
    <s v="Missed"/>
    <s v="On-time"/>
    <s v="Late"/>
    <m/>
    <m/>
    <m/>
    <m/>
  </r>
  <r>
    <s v="CUST0398"/>
    <n v="64"/>
    <x v="174"/>
    <x v="163"/>
    <x v="390"/>
    <n v="0"/>
    <x v="0"/>
    <n v="19733"/>
    <n v="0.31598766340141698"/>
    <s v="EMP"/>
    <n v="14"/>
    <s v="Student"/>
    <s v="Los Angeles"/>
    <s v="Late"/>
    <s v="Missed"/>
    <s v="Missed"/>
    <s v="Late"/>
    <s v="On-time"/>
    <s v="Missed"/>
    <m/>
    <m/>
    <m/>
    <m/>
  </r>
  <r>
    <s v="CUST0399"/>
    <n v="50"/>
    <x v="50"/>
    <x v="28"/>
    <x v="391"/>
    <n v="0"/>
    <x v="0"/>
    <n v="52217"/>
    <n v="0.21338044013065599"/>
    <s v="retired"/>
    <n v="2"/>
    <s v="Business"/>
    <s v="Houston"/>
    <s v="Late"/>
    <s v="Missed"/>
    <s v="Missed"/>
    <s v="Missed"/>
    <s v="Late"/>
    <s v="On-time"/>
    <m/>
    <m/>
    <m/>
    <m/>
  </r>
  <r>
    <s v="CUST0400"/>
    <n v="22"/>
    <x v="28"/>
    <x v="98"/>
    <x v="392"/>
    <n v="4"/>
    <x v="0"/>
    <n v="60278"/>
    <n v="0.1"/>
    <s v="retired"/>
    <n v="1"/>
    <s v="Student"/>
    <s v="New York"/>
    <s v="On-time"/>
    <s v="Late"/>
    <s v="On-time"/>
    <s v="Late"/>
    <s v="Missed"/>
    <s v="On-time"/>
    <m/>
    <m/>
    <m/>
    <m/>
  </r>
  <r>
    <s v="CUST0401"/>
    <n v="65"/>
    <x v="224"/>
    <x v="174"/>
    <x v="393"/>
    <n v="1"/>
    <x v="0"/>
    <n v="91557"/>
    <n v="0.35525673906570099"/>
    <s v="EMP"/>
    <n v="0"/>
    <s v="Student"/>
    <s v="Chicago"/>
    <s v="Missed"/>
    <s v="Missed"/>
    <s v="On-time"/>
    <s v="On-time"/>
    <s v="Missed"/>
    <s v="Late"/>
    <m/>
    <m/>
    <m/>
    <m/>
  </r>
  <r>
    <s v="CUST0402"/>
    <n v="36"/>
    <x v="38"/>
    <x v="85"/>
    <x v="394"/>
    <n v="4"/>
    <x v="0"/>
    <n v="55345"/>
    <n v="0.189194096188297"/>
    <s v="Unemployed"/>
    <n v="8"/>
    <s v="Gold"/>
    <s v="Los Angeles"/>
    <s v="On-time"/>
    <s v="Missed"/>
    <s v="Missed"/>
    <s v="On-time"/>
    <s v="Late"/>
    <s v="Late"/>
    <m/>
    <m/>
    <m/>
    <m/>
  </r>
  <r>
    <s v="CUST0403"/>
    <n v="21"/>
    <x v="237"/>
    <x v="213"/>
    <x v="395"/>
    <n v="5"/>
    <x v="1"/>
    <n v="3091"/>
    <n v="0.36617894546907298"/>
    <s v="EMP"/>
    <n v="8"/>
    <s v="Business"/>
    <s v="Los Angeles"/>
    <s v="On-time"/>
    <s v="On-time"/>
    <s v="On-time"/>
    <s v="Late"/>
    <s v="Late"/>
    <s v="On-time"/>
    <m/>
    <m/>
    <m/>
    <m/>
  </r>
  <r>
    <s v="CUST0404"/>
    <n v="52"/>
    <x v="4"/>
    <x v="89"/>
    <x v="396"/>
    <n v="4"/>
    <x v="0"/>
    <n v="32207"/>
    <n v="0.36378481065159801"/>
    <s v="employed"/>
    <n v="6"/>
    <s v="Student"/>
    <s v="New York"/>
    <s v="On-time"/>
    <s v="On-time"/>
    <s v="Missed"/>
    <s v="On-time"/>
    <s v="Late"/>
    <s v="Missed"/>
    <m/>
    <m/>
    <m/>
    <m/>
  </r>
  <r>
    <s v="CUST0405"/>
    <n v="66"/>
    <x v="238"/>
    <x v="161"/>
    <x v="397"/>
    <n v="2"/>
    <x v="0"/>
    <n v="98999"/>
    <n v="0.328359001152283"/>
    <s v="retired"/>
    <n v="2"/>
    <s v="Student"/>
    <s v="New York"/>
    <s v="Late"/>
    <s v="On-time"/>
    <s v="On-time"/>
    <s v="On-time"/>
    <s v="Missed"/>
    <s v="Missed"/>
    <m/>
    <m/>
    <m/>
    <m/>
  </r>
  <r>
    <s v="CUST0406"/>
    <n v="34"/>
    <x v="204"/>
    <x v="214"/>
    <x v="398"/>
    <n v="6"/>
    <x v="0"/>
    <n v="90739"/>
    <n v="0.54968178403564905"/>
    <s v="EMP"/>
    <n v="17"/>
    <s v="Business"/>
    <s v="Phoenix"/>
    <s v="Missed"/>
    <s v="Late"/>
    <s v="Late"/>
    <s v="Late"/>
    <s v="Missed"/>
    <s v="Late"/>
    <m/>
    <m/>
    <m/>
    <m/>
  </r>
  <r>
    <s v="CUST0407"/>
    <n v="61"/>
    <x v="239"/>
    <x v="137"/>
    <x v="399"/>
    <n v="2"/>
    <x v="0"/>
    <n v="85780"/>
    <n v="0.286194815002762"/>
    <s v="retired"/>
    <n v="10"/>
    <s v="Business"/>
    <s v="Chicago"/>
    <s v="Missed"/>
    <s v="On-time"/>
    <s v="Missed"/>
    <s v="On-time"/>
    <s v="On-time"/>
    <s v="Late"/>
    <m/>
    <m/>
    <m/>
    <m/>
  </r>
  <r>
    <s v="CUST0408"/>
    <n v="45"/>
    <x v="38"/>
    <x v="200"/>
    <x v="400"/>
    <n v="2"/>
    <x v="0"/>
    <n v="44303"/>
    <n v="0.27143604325014098"/>
    <s v="employed"/>
    <n v="6"/>
    <s v="Standard"/>
    <s v="New York"/>
    <s v="On-time"/>
    <s v="Missed"/>
    <s v="On-time"/>
    <s v="Late"/>
    <s v="Missed"/>
    <s v="Missed"/>
    <m/>
    <m/>
    <m/>
    <m/>
  </r>
  <r>
    <s v="CUST0409"/>
    <n v="47"/>
    <x v="240"/>
    <x v="169"/>
    <x v="401"/>
    <n v="1"/>
    <x v="0"/>
    <n v="39582"/>
    <n v="0.36836724214169098"/>
    <s v="Self-employed"/>
    <n v="8"/>
    <s v="Gold"/>
    <s v="Los Angeles"/>
    <s v="On-time"/>
    <s v="Late"/>
    <s v="Late"/>
    <s v="Late"/>
    <s v="On-time"/>
    <s v="Late"/>
    <m/>
    <m/>
    <m/>
    <m/>
  </r>
  <r>
    <s v="CUST0410"/>
    <n v="46"/>
    <x v="0"/>
    <x v="215"/>
    <x v="402"/>
    <n v="1"/>
    <x v="0"/>
    <n v="1217"/>
    <n v="0.29445526378862003"/>
    <s v="employed"/>
    <n v="0"/>
    <s v="Business"/>
    <s v="Los Angeles"/>
    <s v="On-time"/>
    <s v="Late"/>
    <s v="Missed"/>
    <s v="On-time"/>
    <s v="Missed"/>
    <s v="On-time"/>
    <m/>
    <m/>
    <m/>
    <m/>
  </r>
  <r>
    <s v="CUST0411"/>
    <n v="63"/>
    <x v="22"/>
    <x v="189"/>
    <x v="403"/>
    <n v="4"/>
    <x v="0"/>
    <n v="89616"/>
    <n v="0.4160493537394"/>
    <s v="employed"/>
    <n v="13"/>
    <s v="Business"/>
    <s v="Houston"/>
    <s v="On-time"/>
    <s v="Missed"/>
    <s v="Missed"/>
    <s v="Missed"/>
    <s v="Late"/>
    <s v="Missed"/>
    <m/>
    <m/>
    <m/>
    <m/>
  </r>
  <r>
    <s v="CUST0412"/>
    <n v="70"/>
    <x v="241"/>
    <x v="68"/>
    <x v="404"/>
    <n v="2"/>
    <x v="0"/>
    <n v="47906"/>
    <n v="0.17311940924244701"/>
    <s v="employed"/>
    <n v="19"/>
    <s v="Platinum"/>
    <s v="New York"/>
    <s v="Missed"/>
    <s v="On-time"/>
    <s v="Late"/>
    <s v="Late"/>
    <s v="Late"/>
    <s v="Missed"/>
    <m/>
    <m/>
    <m/>
    <m/>
  </r>
  <r>
    <s v="CUST0413"/>
    <n v="23"/>
    <x v="242"/>
    <x v="216"/>
    <x v="405"/>
    <n v="1"/>
    <x v="0"/>
    <n v="45776"/>
    <n v="0.17478255525356501"/>
    <s v="employed"/>
    <n v="5"/>
    <s v="Business"/>
    <s v="Phoenix"/>
    <s v="Missed"/>
    <s v="On-time"/>
    <s v="Late"/>
    <s v="Missed"/>
    <s v="On-time"/>
    <s v="Late"/>
    <m/>
    <m/>
    <m/>
    <m/>
  </r>
  <r>
    <s v="CUST0414"/>
    <n v="52"/>
    <x v="46"/>
    <x v="42"/>
    <x v="406"/>
    <n v="0"/>
    <x v="0"/>
    <n v="61210"/>
    <n v="0.37658094913262102"/>
    <s v="retired"/>
    <n v="6"/>
    <s v="Gold"/>
    <s v="Chicago"/>
    <s v="Late"/>
    <s v="Missed"/>
    <s v="On-time"/>
    <s v="On-time"/>
    <s v="Missed"/>
    <s v="Missed"/>
    <m/>
    <m/>
    <m/>
    <m/>
  </r>
  <r>
    <s v="CUST0415"/>
    <n v="58"/>
    <x v="78"/>
    <x v="91"/>
    <x v="407"/>
    <n v="4"/>
    <x v="1"/>
    <n v="5626"/>
    <n v="0.18351890606613899"/>
    <s v="Unemployed"/>
    <n v="9"/>
    <s v="Student"/>
    <s v="Phoenix"/>
    <s v="On-time"/>
    <s v="Missed"/>
    <s v="Late"/>
    <s v="Missed"/>
    <s v="On-time"/>
    <s v="Late"/>
    <m/>
    <m/>
    <m/>
    <m/>
  </r>
  <r>
    <s v="CUST0416"/>
    <n v="54"/>
    <x v="157"/>
    <x v="116"/>
    <x v="408"/>
    <n v="5"/>
    <x v="0"/>
    <n v="62561"/>
    <n v="0.360909860644271"/>
    <s v="Unemployed"/>
    <n v="6"/>
    <s v="Student"/>
    <s v="Los Angeles"/>
    <s v="Missed"/>
    <s v="Late"/>
    <s v="Late"/>
    <s v="On-time"/>
    <s v="Missed"/>
    <s v="Late"/>
    <m/>
    <m/>
    <m/>
    <m/>
  </r>
  <r>
    <s v="CUST0417"/>
    <n v="41"/>
    <x v="243"/>
    <x v="186"/>
    <x v="409"/>
    <n v="6"/>
    <x v="0"/>
    <n v="63412"/>
    <n v="0.33700028462103598"/>
    <s v="Unemployed"/>
    <n v="1"/>
    <s v="Student"/>
    <s v="Phoenix"/>
    <s v="Late"/>
    <s v="On-time"/>
    <s v="On-time"/>
    <s v="Late"/>
    <s v="Missed"/>
    <s v="Late"/>
    <m/>
    <m/>
    <m/>
    <m/>
  </r>
  <r>
    <s v="CUST0418"/>
    <n v="46"/>
    <x v="244"/>
    <x v="189"/>
    <x v="410"/>
    <n v="3"/>
    <x v="0"/>
    <n v="62253"/>
    <n v="0.230551171397233"/>
    <s v="retired"/>
    <n v="3"/>
    <s v="Student"/>
    <s v="Los Angeles"/>
    <s v="Late"/>
    <s v="Late"/>
    <s v="Late"/>
    <s v="On-time"/>
    <s v="On-time"/>
    <s v="Late"/>
    <m/>
    <m/>
    <m/>
    <m/>
  </r>
  <r>
    <s v="CUST0419"/>
    <n v="66"/>
    <x v="38"/>
    <x v="179"/>
    <x v="411"/>
    <n v="4"/>
    <x v="0"/>
    <n v="46333"/>
    <n v="0.33671701602334297"/>
    <s v="employed"/>
    <n v="16"/>
    <s v="Platinum"/>
    <s v="Los Angeles"/>
    <s v="Late"/>
    <s v="Late"/>
    <s v="Late"/>
    <s v="Late"/>
    <s v="On-time"/>
    <s v="On-time"/>
    <m/>
    <m/>
    <m/>
    <m/>
  </r>
  <r>
    <s v="CUST0420"/>
    <n v="63"/>
    <x v="200"/>
    <x v="106"/>
    <x v="412"/>
    <n v="3"/>
    <x v="0"/>
    <n v="62253"/>
    <n v="0.17654075542157599"/>
    <s v="Unemployed"/>
    <n v="0"/>
    <s v="Business"/>
    <s v="Los Angeles"/>
    <s v="Late"/>
    <s v="Late"/>
    <s v="Late"/>
    <s v="On-time"/>
    <s v="On-time"/>
    <s v="Missed"/>
    <m/>
    <m/>
    <m/>
    <m/>
  </r>
  <r>
    <s v="CUST0421"/>
    <n v="70"/>
    <x v="106"/>
    <x v="50"/>
    <x v="50"/>
    <n v="2"/>
    <x v="0"/>
    <n v="73733"/>
    <n v="0.20001000737362901"/>
    <s v="Self-employed"/>
    <n v="9"/>
    <s v="Student"/>
    <s v="Los Angeles"/>
    <s v="Missed"/>
    <s v="Missed"/>
    <s v="Late"/>
    <s v="Missed"/>
    <s v="On-time"/>
    <s v="Missed"/>
    <m/>
    <m/>
    <m/>
    <m/>
  </r>
  <r>
    <s v="CUST0422"/>
    <n v="48"/>
    <x v="59"/>
    <x v="7"/>
    <x v="413"/>
    <n v="6"/>
    <x v="0"/>
    <n v="95276"/>
    <n v="0.27628122615879303"/>
    <s v="employed"/>
    <n v="18"/>
    <s v="Standard"/>
    <s v="Los Angeles"/>
    <s v="On-time"/>
    <s v="Late"/>
    <s v="Late"/>
    <s v="On-time"/>
    <s v="Missed"/>
    <s v="Missed"/>
    <m/>
    <m/>
    <m/>
    <m/>
  </r>
  <r>
    <s v="CUST0423"/>
    <n v="52"/>
    <x v="213"/>
    <x v="0"/>
    <x v="414"/>
    <n v="3"/>
    <x v="0"/>
    <n v="59691"/>
    <n v="0.30789278190722202"/>
    <s v="employed"/>
    <n v="14"/>
    <s v="Student"/>
    <s v="Houston"/>
    <s v="On-time"/>
    <s v="Late"/>
    <s v="Missed"/>
    <s v="On-time"/>
    <s v="On-time"/>
    <s v="Missed"/>
    <m/>
    <m/>
    <m/>
    <m/>
  </r>
  <r>
    <s v="CUST0424"/>
    <n v="50"/>
    <x v="240"/>
    <x v="217"/>
    <x v="415"/>
    <n v="2"/>
    <x v="1"/>
    <n v="36820"/>
    <n v="0.26963614630121402"/>
    <s v="employed"/>
    <n v="9"/>
    <s v="Business"/>
    <s v="Phoenix"/>
    <s v="Missed"/>
    <s v="Late"/>
    <s v="Missed"/>
    <s v="On-time"/>
    <s v="Late"/>
    <s v="Late"/>
    <m/>
    <m/>
    <m/>
    <m/>
  </r>
  <r>
    <s v="CUST0425"/>
    <n v="69"/>
    <x v="245"/>
    <x v="139"/>
    <x v="416"/>
    <n v="0"/>
    <x v="0"/>
    <n v="65548"/>
    <n v="0.34331159638731101"/>
    <s v="Unemployed"/>
    <n v="18"/>
    <s v="Student"/>
    <s v="Houston"/>
    <s v="Missed"/>
    <s v="On-time"/>
    <s v="Missed"/>
    <s v="Missed"/>
    <s v="Missed"/>
    <s v="Late"/>
    <m/>
    <m/>
    <m/>
    <m/>
  </r>
  <r>
    <s v="CUST0426"/>
    <n v="38"/>
    <x v="43"/>
    <x v="2"/>
    <x v="417"/>
    <n v="3"/>
    <x v="0"/>
    <n v="29584"/>
    <n v="0.33884664150482902"/>
    <s v="employed"/>
    <n v="11"/>
    <s v="Platinum"/>
    <s v="Houston"/>
    <s v="Late"/>
    <s v="On-time"/>
    <s v="Missed"/>
    <s v="Missed"/>
    <s v="Late"/>
    <s v="Late"/>
    <m/>
    <m/>
    <m/>
    <m/>
  </r>
  <r>
    <s v="CUST0427"/>
    <n v="49"/>
    <x v="83"/>
    <x v="149"/>
    <x v="418"/>
    <n v="6"/>
    <x v="0"/>
    <n v="60530"/>
    <n v="0.45293668083481398"/>
    <s v="EMP"/>
    <n v="15"/>
    <s v="Gold"/>
    <s v="New York"/>
    <s v="Late"/>
    <s v="On-time"/>
    <s v="Missed"/>
    <s v="Late"/>
    <s v="Late"/>
    <s v="Missed"/>
    <m/>
    <m/>
    <m/>
    <m/>
  </r>
  <r>
    <s v="CUST0428"/>
    <n v="40"/>
    <x v="178"/>
    <x v="11"/>
    <x v="419"/>
    <n v="4"/>
    <x v="0"/>
    <n v="36913"/>
    <n v="0.290471465285499"/>
    <s v="Self-employed"/>
    <n v="8"/>
    <s v="Gold"/>
    <s v="New York"/>
    <s v="Missed"/>
    <s v="On-time"/>
    <s v="Missed"/>
    <s v="On-time"/>
    <s v="Late"/>
    <s v="Missed"/>
    <m/>
    <m/>
    <m/>
    <m/>
  </r>
  <r>
    <s v="CUST0429"/>
    <n v="50"/>
    <x v="196"/>
    <x v="52"/>
    <x v="420"/>
    <n v="2"/>
    <x v="0"/>
    <n v="62342"/>
    <n v="0.41945634311841201"/>
    <s v="Unemployed"/>
    <n v="14"/>
    <s v="Business"/>
    <s v="New York"/>
    <s v="On-time"/>
    <s v="Missed"/>
    <s v="On-time"/>
    <s v="Late"/>
    <s v="Late"/>
    <s v="On-time"/>
    <m/>
    <m/>
    <m/>
    <m/>
  </r>
  <r>
    <s v="CUST0430"/>
    <n v="20"/>
    <x v="246"/>
    <x v="218"/>
    <x v="421"/>
    <n v="4"/>
    <x v="1"/>
    <n v="49798"/>
    <n v="0.392072551289389"/>
    <s v="Unemployed"/>
    <n v="16"/>
    <s v="Gold"/>
    <s v="Chicago"/>
    <s v="Missed"/>
    <s v="On-time"/>
    <s v="Missed"/>
    <s v="Late"/>
    <s v="Late"/>
    <s v="On-time"/>
    <m/>
    <m/>
    <m/>
    <m/>
  </r>
  <r>
    <s v="CUST0431"/>
    <n v="35"/>
    <x v="67"/>
    <x v="45"/>
    <x v="422"/>
    <n v="6"/>
    <x v="0"/>
    <n v="95276"/>
    <n v="0.52939772832931398"/>
    <s v="Self-employed"/>
    <n v="13"/>
    <s v="Gold"/>
    <s v="New York"/>
    <s v="Missed"/>
    <s v="On-time"/>
    <s v="Late"/>
    <s v="On-time"/>
    <s v="Late"/>
    <s v="Missed"/>
    <m/>
    <m/>
    <m/>
    <m/>
  </r>
  <r>
    <s v="CUST0432"/>
    <n v="42"/>
    <x v="135"/>
    <x v="36"/>
    <x v="423"/>
    <n v="1"/>
    <x v="0"/>
    <n v="55812"/>
    <n v="0.287274198009772"/>
    <s v="Self-employed"/>
    <n v="17"/>
    <s v="Standard"/>
    <s v="Phoenix"/>
    <s v="On-time"/>
    <s v="Late"/>
    <s v="Missed"/>
    <s v="On-time"/>
    <s v="Late"/>
    <s v="Missed"/>
    <m/>
    <m/>
    <m/>
    <m/>
  </r>
  <r>
    <s v="CUST0433"/>
    <n v="59"/>
    <x v="117"/>
    <x v="57"/>
    <x v="424"/>
    <n v="2"/>
    <x v="0"/>
    <n v="24851"/>
    <n v="0.25796412785470102"/>
    <s v="EMP"/>
    <n v="1"/>
    <s v="Business"/>
    <s v="Houston"/>
    <s v="On-time"/>
    <s v="Late"/>
    <s v="On-time"/>
    <s v="Missed"/>
    <s v="On-time"/>
    <s v="Missed"/>
    <m/>
    <m/>
    <m/>
    <m/>
  </r>
  <r>
    <s v="CUST0434"/>
    <n v="48"/>
    <x v="54"/>
    <x v="77"/>
    <x v="425"/>
    <n v="3"/>
    <x v="0"/>
    <n v="78289"/>
    <n v="0.42576942222437297"/>
    <s v="Unemployed"/>
    <n v="3"/>
    <s v="Business"/>
    <s v="Phoenix"/>
    <s v="Late"/>
    <s v="Late"/>
    <s v="Late"/>
    <s v="Late"/>
    <s v="Missed"/>
    <s v="Late"/>
    <m/>
    <m/>
    <m/>
    <m/>
  </r>
  <r>
    <s v="CUST0435"/>
    <n v="71"/>
    <x v="41"/>
    <x v="42"/>
    <x v="426"/>
    <n v="2"/>
    <x v="0"/>
    <n v="20052"/>
    <n v="0.33854325717412598"/>
    <s v="retired"/>
    <n v="17"/>
    <s v="Gold"/>
    <s v="New York"/>
    <s v="Missed"/>
    <s v="On-time"/>
    <s v="Missed"/>
    <s v="Missed"/>
    <s v="Missed"/>
    <s v="On-time"/>
    <m/>
    <m/>
    <m/>
    <m/>
  </r>
  <r>
    <s v="CUST0436"/>
    <n v="20"/>
    <x v="201"/>
    <x v="49"/>
    <x v="427"/>
    <n v="4"/>
    <x v="0"/>
    <n v="88778"/>
    <n v="0.42816592167838902"/>
    <s v="Unemployed"/>
    <n v="6"/>
    <s v="Gold"/>
    <s v="Chicago"/>
    <s v="Late"/>
    <s v="Missed"/>
    <s v="Late"/>
    <s v="On-time"/>
    <s v="On-time"/>
    <s v="Late"/>
    <m/>
    <m/>
    <m/>
    <m/>
  </r>
  <r>
    <s v="CUST0437"/>
    <n v="57"/>
    <x v="227"/>
    <x v="114"/>
    <x v="428"/>
    <n v="0"/>
    <x v="0"/>
    <n v="95136"/>
    <n v="0.37167987979895001"/>
    <s v="employed"/>
    <n v="12"/>
    <s v="Gold"/>
    <s v="Chicago"/>
    <s v="Missed"/>
    <s v="Late"/>
    <s v="On-time"/>
    <s v="Missed"/>
    <s v="Late"/>
    <s v="Missed"/>
    <m/>
    <m/>
    <m/>
    <m/>
  </r>
  <r>
    <s v="CUST0438"/>
    <n v="63"/>
    <x v="38"/>
    <x v="219"/>
    <x v="429"/>
    <n v="2"/>
    <x v="0"/>
    <n v="41743"/>
    <n v="0.1"/>
    <s v="employed"/>
    <n v="14"/>
    <s v="Platinum"/>
    <s v="Houston"/>
    <s v="Missed"/>
    <s v="On-time"/>
    <s v="Late"/>
    <s v="On-time"/>
    <s v="Late"/>
    <s v="On-time"/>
    <m/>
    <m/>
    <m/>
    <m/>
  </r>
  <r>
    <s v="CUST0439"/>
    <n v="41"/>
    <x v="166"/>
    <x v="73"/>
    <x v="430"/>
    <n v="3"/>
    <x v="0"/>
    <n v="87110"/>
    <n v="0.33763217770311799"/>
    <s v="employed"/>
    <n v="0"/>
    <s v="Student"/>
    <s v="Phoenix"/>
    <s v="Late"/>
    <s v="On-time"/>
    <s v="On-time"/>
    <s v="Late"/>
    <s v="On-time"/>
    <s v="On-time"/>
    <m/>
    <m/>
    <m/>
    <m/>
  </r>
  <r>
    <s v="CUST0440"/>
    <n v="67"/>
    <x v="247"/>
    <x v="174"/>
    <x v="431"/>
    <n v="1"/>
    <x v="0"/>
    <n v="45776"/>
    <n v="0.331121589795148"/>
    <s v="employed"/>
    <n v="10"/>
    <s v="Platinum"/>
    <s v="Los Angeles"/>
    <s v="Missed"/>
    <s v="Missed"/>
    <s v="Late"/>
    <s v="On-time"/>
    <s v="Missed"/>
    <s v="Late"/>
    <m/>
    <m/>
    <m/>
    <m/>
  </r>
  <r>
    <s v="CUST0441"/>
    <n v="49"/>
    <x v="248"/>
    <x v="120"/>
    <x v="432"/>
    <n v="5"/>
    <x v="0"/>
    <n v="82438"/>
    <n v="0.31331069024639602"/>
    <s v="employed"/>
    <n v="9"/>
    <s v="Business"/>
    <s v="Phoenix"/>
    <s v="Missed"/>
    <s v="Missed"/>
    <s v="Missed"/>
    <s v="Missed"/>
    <s v="Missed"/>
    <s v="Missed"/>
    <m/>
    <m/>
    <m/>
    <m/>
  </r>
  <r>
    <s v="CUST0442"/>
    <n v="64"/>
    <x v="249"/>
    <x v="0"/>
    <x v="433"/>
    <n v="0"/>
    <x v="0"/>
    <n v="1806"/>
    <n v="0.286775694587661"/>
    <s v="Self-employed"/>
    <n v="4"/>
    <s v="Standard"/>
    <s v="New York"/>
    <s v="Missed"/>
    <s v="Late"/>
    <s v="Late"/>
    <s v="On-time"/>
    <s v="On-time"/>
    <s v="Missed"/>
    <m/>
    <m/>
    <m/>
    <m/>
  </r>
  <r>
    <s v="CUST0443"/>
    <n v="39"/>
    <x v="250"/>
    <x v="136"/>
    <x v="434"/>
    <n v="1"/>
    <x v="0"/>
    <n v="4106"/>
    <n v="0.140785647220567"/>
    <s v="employed"/>
    <n v="15"/>
    <s v="Student"/>
    <s v="Los Angeles"/>
    <s v="On-time"/>
    <s v="Late"/>
    <s v="On-time"/>
    <s v="On-time"/>
    <s v="On-time"/>
    <s v="On-time"/>
    <m/>
    <m/>
    <m/>
    <m/>
  </r>
  <r>
    <s v="CUST0444"/>
    <n v="40"/>
    <x v="87"/>
    <x v="134"/>
    <x v="435"/>
    <n v="2"/>
    <x v="0"/>
    <n v="95376"/>
    <n v="0.387417691723832"/>
    <s v="employed"/>
    <n v="10"/>
    <s v="Standard"/>
    <s v="Chicago"/>
    <s v="On-time"/>
    <s v="Missed"/>
    <s v="On-time"/>
    <s v="Late"/>
    <s v="On-time"/>
    <s v="On-time"/>
    <m/>
    <m/>
    <m/>
    <m/>
  </r>
  <r>
    <s v="CUST0445"/>
    <n v="19"/>
    <x v="251"/>
    <x v="220"/>
    <x v="436"/>
    <n v="4"/>
    <x v="0"/>
    <n v="65387"/>
    <n v="0.33737684280934899"/>
    <s v="employed"/>
    <n v="5"/>
    <s v="Business"/>
    <s v="Houston"/>
    <s v="Missed"/>
    <s v="Late"/>
    <s v="Late"/>
    <s v="On-time"/>
    <s v="Missed"/>
    <s v="Missed"/>
    <m/>
    <m/>
    <m/>
    <m/>
  </r>
  <r>
    <s v="CUST0446"/>
    <n v="44"/>
    <x v="252"/>
    <x v="221"/>
    <x v="437"/>
    <n v="6"/>
    <x v="1"/>
    <n v="85678"/>
    <n v="0.41019566973974197"/>
    <s v="EMP"/>
    <n v="8"/>
    <s v="Business"/>
    <s v="Houston"/>
    <s v="On-time"/>
    <s v="Late"/>
    <s v="On-time"/>
    <s v="Late"/>
    <s v="Missed"/>
    <s v="On-time"/>
    <m/>
    <m/>
    <m/>
    <m/>
  </r>
  <r>
    <s v="CUST0447"/>
    <n v="59"/>
    <x v="191"/>
    <x v="20"/>
    <x v="438"/>
    <n v="4"/>
    <x v="0"/>
    <n v="73117"/>
    <n v="0.146124447572474"/>
    <s v="employed"/>
    <n v="12"/>
    <s v="Standard"/>
    <s v="Chicago"/>
    <s v="Missed"/>
    <s v="On-time"/>
    <s v="On-time"/>
    <s v="Missed"/>
    <s v="Missed"/>
    <s v="On-time"/>
    <m/>
    <m/>
    <m/>
    <m/>
  </r>
  <r>
    <s v="CUST0448"/>
    <n v="19"/>
    <x v="239"/>
    <x v="5"/>
    <x v="439"/>
    <n v="3"/>
    <x v="0"/>
    <n v="52256"/>
    <n v="0.350713448954526"/>
    <s v="retired"/>
    <n v="7"/>
    <s v="Standard"/>
    <s v="New York"/>
    <s v="Missed"/>
    <s v="Missed"/>
    <s v="Late"/>
    <s v="On-time"/>
    <s v="Missed"/>
    <s v="Missed"/>
    <m/>
    <m/>
    <m/>
    <m/>
  </r>
  <r>
    <s v="CUST0449"/>
    <n v="43"/>
    <x v="104"/>
    <x v="98"/>
    <x v="440"/>
    <n v="4"/>
    <x v="0"/>
    <n v="10778"/>
    <n v="0.27653406624534299"/>
    <s v="employed"/>
    <n v="13"/>
    <s v="Standard"/>
    <s v="Chicago"/>
    <s v="On-time"/>
    <s v="On-time"/>
    <s v="Missed"/>
    <s v="Missed"/>
    <s v="Missed"/>
    <s v="On-time"/>
    <m/>
    <m/>
    <m/>
    <m/>
  </r>
  <r>
    <s v="CUST0450"/>
    <n v="34"/>
    <x v="67"/>
    <x v="105"/>
    <x v="441"/>
    <n v="0"/>
    <x v="0"/>
    <n v="62010"/>
    <n v="0.314378800992552"/>
    <s v="EMP"/>
    <n v="0"/>
    <s v="Business"/>
    <s v="New York"/>
    <s v="Missed"/>
    <s v="Late"/>
    <s v="On-time"/>
    <s v="On-time"/>
    <s v="Late"/>
    <s v="Missed"/>
    <m/>
    <m/>
    <m/>
    <m/>
  </r>
  <r>
    <s v="CUST0451"/>
    <n v="57"/>
    <x v="38"/>
    <x v="12"/>
    <x v="442"/>
    <n v="4"/>
    <x v="0"/>
    <n v="29845"/>
    <n v="0.27768403658190999"/>
    <s v="employed"/>
    <n v="16"/>
    <s v="Gold"/>
    <s v="Los Angeles"/>
    <s v="On-time"/>
    <s v="Late"/>
    <s v="On-time"/>
    <s v="On-time"/>
    <s v="On-time"/>
    <s v="Missed"/>
    <m/>
    <m/>
    <m/>
    <m/>
  </r>
  <r>
    <s v="CUST0452"/>
    <n v="50"/>
    <x v="33"/>
    <x v="92"/>
    <x v="443"/>
    <n v="3"/>
    <x v="0"/>
    <n v="62010"/>
    <n v="0.35436079274801202"/>
    <s v="EMP"/>
    <n v="4"/>
    <s v="Standard"/>
    <s v="Chicago"/>
    <s v="On-time"/>
    <s v="Missed"/>
    <s v="Missed"/>
    <s v="On-time"/>
    <s v="Missed"/>
    <s v="Missed"/>
    <m/>
    <m/>
    <m/>
    <m/>
  </r>
  <r>
    <s v="CUST0453"/>
    <n v="26"/>
    <x v="96"/>
    <x v="222"/>
    <x v="444"/>
    <n v="5"/>
    <x v="1"/>
    <n v="29416"/>
    <n v="0.28371268790084198"/>
    <s v="employed"/>
    <n v="1"/>
    <s v="Student"/>
    <s v="New York"/>
    <s v="Late"/>
    <s v="Late"/>
    <s v="Missed"/>
    <s v="Missed"/>
    <s v="Late"/>
    <s v="Missed"/>
    <m/>
    <m/>
    <m/>
    <m/>
  </r>
  <r>
    <s v="CUST0454"/>
    <n v="60"/>
    <x v="253"/>
    <x v="27"/>
    <x v="445"/>
    <n v="2"/>
    <x v="0"/>
    <n v="45776"/>
    <n v="0.19480850749443099"/>
    <s v="Self-employed"/>
    <n v="8"/>
    <s v="Business"/>
    <s v="Los Angeles"/>
    <s v="Missed"/>
    <s v="Missed"/>
    <s v="On-time"/>
    <s v="Late"/>
    <s v="On-time"/>
    <s v="Missed"/>
    <m/>
    <m/>
    <m/>
    <m/>
  </r>
  <r>
    <s v="CUST0455"/>
    <n v="71"/>
    <x v="144"/>
    <x v="178"/>
    <x v="446"/>
    <n v="6"/>
    <x v="0"/>
    <n v="77743"/>
    <n v="0.308642541878619"/>
    <s v="employed"/>
    <n v="3"/>
    <s v="Platinum"/>
    <s v="Chicago"/>
    <s v="On-time"/>
    <s v="Missed"/>
    <s v="Late"/>
    <s v="Late"/>
    <s v="Missed"/>
    <s v="Missed"/>
    <m/>
    <m/>
    <m/>
    <m/>
  </r>
  <r>
    <s v="CUST0456"/>
    <n v="65"/>
    <x v="254"/>
    <x v="223"/>
    <x v="447"/>
    <n v="2"/>
    <x v="0"/>
    <n v="83236"/>
    <n v="0.27858254628644902"/>
    <s v="Self-employed"/>
    <n v="16"/>
    <s v="Platinum"/>
    <s v="Houston"/>
    <s v="Late"/>
    <s v="Missed"/>
    <s v="Late"/>
    <s v="On-time"/>
    <s v="Late"/>
    <s v="On-time"/>
    <m/>
    <m/>
    <m/>
    <m/>
  </r>
  <r>
    <s v="CUST0457"/>
    <n v="56"/>
    <x v="255"/>
    <x v="57"/>
    <x v="448"/>
    <n v="4"/>
    <x v="0"/>
    <n v="24120"/>
    <n v="0.291660637887111"/>
    <s v="Self-employed"/>
    <n v="16"/>
    <s v="Student"/>
    <s v="Chicago"/>
    <s v="Late"/>
    <s v="Late"/>
    <s v="Missed"/>
    <s v="On-time"/>
    <s v="Late"/>
    <s v="On-time"/>
    <m/>
    <m/>
    <m/>
    <m/>
  </r>
  <r>
    <s v="CUST0458"/>
    <n v="46"/>
    <x v="196"/>
    <x v="224"/>
    <x v="449"/>
    <n v="1"/>
    <x v="0"/>
    <n v="71588"/>
    <n v="0.1"/>
    <s v="employed"/>
    <n v="17"/>
    <s v="Gold"/>
    <s v="Phoenix"/>
    <s v="Late"/>
    <s v="Missed"/>
    <s v="Late"/>
    <s v="Missed"/>
    <s v="Late"/>
    <s v="On-time"/>
    <m/>
    <m/>
    <m/>
    <m/>
  </r>
  <r>
    <s v="CUST0459"/>
    <n v="59"/>
    <x v="38"/>
    <x v="168"/>
    <x v="450"/>
    <n v="2"/>
    <x v="0"/>
    <n v="24835"/>
    <n v="0.36826360835687"/>
    <s v="retired"/>
    <n v="15"/>
    <s v="Standard"/>
    <s v="Chicago"/>
    <s v="Missed"/>
    <s v="Late"/>
    <s v="On-time"/>
    <s v="On-time"/>
    <s v="Missed"/>
    <s v="Late"/>
    <m/>
    <m/>
    <m/>
    <m/>
  </r>
  <r>
    <s v="CUST0460"/>
    <n v="72"/>
    <x v="94"/>
    <x v="6"/>
    <x v="451"/>
    <n v="5"/>
    <x v="0"/>
    <n v="45776"/>
    <n v="0.26853363826532101"/>
    <s v="Unemployed"/>
    <n v="7"/>
    <s v="Business"/>
    <s v="Phoenix"/>
    <s v="Late"/>
    <s v="Late"/>
    <s v="Late"/>
    <s v="Missed"/>
    <s v="Late"/>
    <s v="Missed"/>
    <m/>
    <m/>
    <m/>
    <m/>
  </r>
  <r>
    <s v="CUST0461"/>
    <n v="43"/>
    <x v="43"/>
    <x v="206"/>
    <x v="452"/>
    <n v="4"/>
    <x v="1"/>
    <n v="17913"/>
    <n v="0.165184642598173"/>
    <s v="employed"/>
    <n v="10"/>
    <s v="Standard"/>
    <s v="Los Angeles"/>
    <s v="Missed"/>
    <s v="Missed"/>
    <s v="On-time"/>
    <s v="On-time"/>
    <s v="Late"/>
    <s v="Missed"/>
    <m/>
    <m/>
    <m/>
    <m/>
  </r>
  <r>
    <s v="CUST0462"/>
    <n v="52"/>
    <x v="256"/>
    <x v="118"/>
    <x v="453"/>
    <n v="6"/>
    <x v="0"/>
    <n v="16693"/>
    <n v="0.39225635168481399"/>
    <s v="employed"/>
    <n v="17"/>
    <s v="Business"/>
    <s v="Chicago"/>
    <s v="Late"/>
    <s v="Missed"/>
    <s v="Late"/>
    <s v="Missed"/>
    <s v="Missed"/>
    <s v="On-time"/>
    <m/>
    <m/>
    <m/>
    <m/>
  </r>
  <r>
    <s v="CUST0463"/>
    <n v="67"/>
    <x v="257"/>
    <x v="183"/>
    <x v="454"/>
    <n v="3"/>
    <x v="0"/>
    <n v="67397"/>
    <n v="0.36363657277529299"/>
    <s v="retired"/>
    <n v="9"/>
    <s v="Platinum"/>
    <s v="Los Angeles"/>
    <s v="On-time"/>
    <s v="Late"/>
    <s v="Late"/>
    <s v="Missed"/>
    <s v="On-time"/>
    <s v="On-time"/>
    <m/>
    <m/>
    <m/>
    <m/>
  </r>
  <r>
    <s v="CUST0464"/>
    <n v="42"/>
    <x v="38"/>
    <x v="225"/>
    <x v="455"/>
    <n v="5"/>
    <x v="0"/>
    <n v="45776"/>
    <n v="0.26726798037251398"/>
    <s v="retired"/>
    <n v="12"/>
    <s v="Standard"/>
    <s v="Los Angeles"/>
    <s v="On-time"/>
    <s v="Missed"/>
    <s v="On-time"/>
    <s v="Late"/>
    <s v="Late"/>
    <s v="Late"/>
    <m/>
    <m/>
    <m/>
    <m/>
  </r>
  <r>
    <s v="CUST0465"/>
    <n v="41"/>
    <x v="258"/>
    <x v="106"/>
    <x v="456"/>
    <n v="4"/>
    <x v="0"/>
    <n v="60530"/>
    <n v="0.18478306204799799"/>
    <s v="employed"/>
    <n v="16"/>
    <s v="Student"/>
    <s v="New York"/>
    <s v="Missed"/>
    <s v="On-time"/>
    <s v="Missed"/>
    <s v="Missed"/>
    <s v="Missed"/>
    <s v="Late"/>
    <m/>
    <m/>
    <m/>
    <m/>
  </r>
  <r>
    <s v="CUST0466"/>
    <n v="30"/>
    <x v="38"/>
    <x v="81"/>
    <x v="457"/>
    <n v="5"/>
    <x v="0"/>
    <n v="45776"/>
    <n v="0.31780307346793701"/>
    <s v="Unemployed"/>
    <n v="17"/>
    <s v="Gold"/>
    <s v="Los Angeles"/>
    <s v="Missed"/>
    <s v="Missed"/>
    <s v="Missed"/>
    <s v="Late"/>
    <s v="On-time"/>
    <s v="On-time"/>
    <m/>
    <m/>
    <m/>
    <m/>
  </r>
  <r>
    <s v="CUST0467"/>
    <n v="24"/>
    <x v="25"/>
    <x v="5"/>
    <x v="458"/>
    <n v="2"/>
    <x v="0"/>
    <n v="18952"/>
    <n v="0.31231060845876002"/>
    <s v="retired"/>
    <n v="9"/>
    <s v="Student"/>
    <s v="Los Angeles"/>
    <s v="Missed"/>
    <s v="On-time"/>
    <s v="On-time"/>
    <s v="Late"/>
    <s v="Late"/>
    <s v="Missed"/>
    <m/>
    <m/>
    <m/>
    <m/>
  </r>
  <r>
    <s v="CUST0468"/>
    <n v="74"/>
    <x v="153"/>
    <x v="226"/>
    <x v="459"/>
    <n v="6"/>
    <x v="0"/>
    <n v="44449"/>
    <n v="0.39243342829917799"/>
    <s v="Self-employed"/>
    <n v="15"/>
    <s v="Gold"/>
    <s v="Chicago"/>
    <s v="Missed"/>
    <s v="Late"/>
    <s v="On-time"/>
    <s v="Missed"/>
    <s v="Missed"/>
    <s v="Late"/>
    <m/>
    <m/>
    <m/>
    <m/>
  </r>
  <r>
    <s v="CUST0469"/>
    <n v="53"/>
    <x v="168"/>
    <x v="62"/>
    <x v="460"/>
    <n v="3"/>
    <x v="0"/>
    <n v="42551"/>
    <n v="0.25562644851395"/>
    <s v="Unemployed"/>
    <n v="19"/>
    <s v="Standard"/>
    <s v="Chicago"/>
    <s v="Late"/>
    <s v="Late"/>
    <s v="On-time"/>
    <s v="Late"/>
    <s v="Late"/>
    <s v="Late"/>
    <m/>
    <m/>
    <m/>
    <m/>
  </r>
  <r>
    <s v="CUST0470"/>
    <n v="62"/>
    <x v="254"/>
    <x v="227"/>
    <x v="461"/>
    <n v="4"/>
    <x v="0"/>
    <n v="82482"/>
    <n v="0.41949221348649901"/>
    <s v="employed"/>
    <n v="4"/>
    <s v="Standard"/>
    <s v="Houston"/>
    <s v="Late"/>
    <s v="Late"/>
    <s v="Late"/>
    <s v="Missed"/>
    <s v="Late"/>
    <s v="Missed"/>
    <m/>
    <m/>
    <m/>
    <m/>
  </r>
  <r>
    <s v="CUST0471"/>
    <n v="37"/>
    <x v="220"/>
    <x v="228"/>
    <x v="462"/>
    <n v="0"/>
    <x v="0"/>
    <n v="33772"/>
    <n v="0.24597469966642299"/>
    <s v="Unemployed"/>
    <n v="12"/>
    <s v="Gold"/>
    <s v="New York"/>
    <s v="On-time"/>
    <s v="On-time"/>
    <s v="Missed"/>
    <s v="Late"/>
    <s v="Missed"/>
    <s v="On-time"/>
    <m/>
    <m/>
    <m/>
    <m/>
  </r>
  <r>
    <s v="CUST0472"/>
    <n v="18"/>
    <x v="120"/>
    <x v="13"/>
    <x v="463"/>
    <n v="3"/>
    <x v="0"/>
    <n v="43870"/>
    <n v="0.16541682154575699"/>
    <s v="employed"/>
    <n v="17"/>
    <s v="Platinum"/>
    <s v="Los Angeles"/>
    <s v="Late"/>
    <s v="On-time"/>
    <s v="On-time"/>
    <s v="Missed"/>
    <s v="On-time"/>
    <s v="Late"/>
    <m/>
    <m/>
    <m/>
    <m/>
  </r>
  <r>
    <s v="CUST0473"/>
    <n v="25"/>
    <x v="259"/>
    <x v="229"/>
    <x v="464"/>
    <n v="0"/>
    <x v="0"/>
    <n v="23685"/>
    <n v="0.186771724452271"/>
    <s v="Unemployed"/>
    <n v="16"/>
    <s v="Business"/>
    <s v="New York"/>
    <s v="On-time"/>
    <s v="Late"/>
    <s v="Late"/>
    <s v="Missed"/>
    <s v="On-time"/>
    <s v="Missed"/>
    <m/>
    <m/>
    <m/>
    <m/>
  </r>
  <r>
    <s v="CUST0474"/>
    <n v="63"/>
    <x v="38"/>
    <x v="55"/>
    <x v="465"/>
    <n v="5"/>
    <x v="0"/>
    <n v="75316"/>
    <n v="0.29375884608643799"/>
    <s v="Self-employed"/>
    <n v="8"/>
    <s v="Student"/>
    <s v="Phoenix"/>
    <s v="Missed"/>
    <s v="On-time"/>
    <s v="Missed"/>
    <s v="Late"/>
    <s v="Late"/>
    <s v="Late"/>
    <m/>
    <m/>
    <m/>
    <m/>
  </r>
  <r>
    <s v="CUST0475"/>
    <n v="33"/>
    <x v="196"/>
    <x v="230"/>
    <x v="466"/>
    <n v="1"/>
    <x v="0"/>
    <n v="60348"/>
    <n v="0.29344854909412599"/>
    <s v="employed"/>
    <n v="13"/>
    <s v="Student"/>
    <s v="Los Angeles"/>
    <s v="On-time"/>
    <s v="Late"/>
    <s v="On-time"/>
    <s v="Late"/>
    <s v="Late"/>
    <s v="Late"/>
    <m/>
    <m/>
    <m/>
    <m/>
  </r>
  <r>
    <s v="CUST0476"/>
    <n v="31"/>
    <x v="260"/>
    <x v="63"/>
    <x v="467"/>
    <n v="3"/>
    <x v="0"/>
    <n v="48437"/>
    <n v="0.33278611407507702"/>
    <s v="EMP"/>
    <n v="16"/>
    <s v="Student"/>
    <s v="New York"/>
    <s v="Late"/>
    <s v="Missed"/>
    <s v="Late"/>
    <s v="On-time"/>
    <s v="On-time"/>
    <s v="Missed"/>
    <m/>
    <m/>
    <m/>
    <m/>
  </r>
  <r>
    <s v="CUST0477"/>
    <n v="29"/>
    <x v="222"/>
    <x v="62"/>
    <x v="468"/>
    <n v="5"/>
    <x v="0"/>
    <n v="44439"/>
    <n v="0.29096259688815501"/>
    <s v="employed"/>
    <n v="3"/>
    <s v="Standard"/>
    <s v="Houston"/>
    <s v="On-time"/>
    <s v="Late"/>
    <s v="Missed"/>
    <s v="Missed"/>
    <s v="Missed"/>
    <s v="Late"/>
    <m/>
    <m/>
    <m/>
    <m/>
  </r>
  <r>
    <s v="CUST0478"/>
    <n v="68"/>
    <x v="258"/>
    <x v="190"/>
    <x v="469"/>
    <n v="0"/>
    <x v="1"/>
    <n v="20374"/>
    <n v="0.39773185160643199"/>
    <s v="employed"/>
    <n v="17"/>
    <s v="Student"/>
    <s v="Houston"/>
    <s v="On-time"/>
    <s v="On-time"/>
    <s v="Missed"/>
    <s v="Late"/>
    <s v="Missed"/>
    <s v="On-time"/>
    <m/>
    <m/>
    <m/>
    <m/>
  </r>
  <r>
    <s v="CUST0479"/>
    <n v="40"/>
    <x v="261"/>
    <x v="90"/>
    <x v="470"/>
    <n v="2"/>
    <x v="0"/>
    <n v="26417"/>
    <n v="0.27389059015374201"/>
    <s v="Unemployed"/>
    <n v="19"/>
    <s v="Business"/>
    <s v="Los Angeles"/>
    <s v="On-time"/>
    <s v="Late"/>
    <s v="Missed"/>
    <s v="On-time"/>
    <s v="On-time"/>
    <s v="On-time"/>
    <m/>
    <m/>
    <m/>
    <m/>
  </r>
  <r>
    <s v="CUST0480"/>
    <n v="32"/>
    <x v="28"/>
    <x v="219"/>
    <x v="471"/>
    <n v="2"/>
    <x v="0"/>
    <n v="54622"/>
    <n v="0.10037237351285801"/>
    <s v="retired"/>
    <n v="14"/>
    <s v="Business"/>
    <s v="Phoenix"/>
    <s v="Late"/>
    <s v="On-time"/>
    <s v="On-time"/>
    <s v="Missed"/>
    <s v="Late"/>
    <s v="On-time"/>
    <m/>
    <m/>
    <m/>
    <m/>
  </r>
  <r>
    <s v="CUST0481"/>
    <n v="45"/>
    <x v="262"/>
    <x v="110"/>
    <x v="472"/>
    <n v="1"/>
    <x v="0"/>
    <n v="85678"/>
    <n v="0.28789033115342"/>
    <s v="employed"/>
    <n v="10"/>
    <s v="Gold"/>
    <s v="Houston"/>
    <s v="Late"/>
    <s v="On-time"/>
    <s v="On-time"/>
    <s v="Missed"/>
    <s v="On-time"/>
    <s v="Late"/>
    <m/>
    <m/>
    <m/>
    <m/>
  </r>
  <r>
    <s v="CUST0482"/>
    <n v="51"/>
    <x v="226"/>
    <x v="40"/>
    <x v="473"/>
    <n v="3"/>
    <x v="0"/>
    <n v="45776"/>
    <n v="0.1"/>
    <s v="EMP"/>
    <n v="11"/>
    <s v="Standard"/>
    <s v="Houston"/>
    <s v="Late"/>
    <s v="Late"/>
    <s v="Late"/>
    <s v="On-time"/>
    <s v="On-time"/>
    <s v="Late"/>
    <m/>
    <m/>
    <m/>
    <m/>
  </r>
  <r>
    <s v="CUST0483"/>
    <n v="19"/>
    <x v="38"/>
    <x v="106"/>
    <x v="474"/>
    <n v="3"/>
    <x v="0"/>
    <n v="45776"/>
    <n v="0.32713909809976899"/>
    <s v="employed"/>
    <n v="8"/>
    <s v="Business"/>
    <s v="Phoenix"/>
    <s v="Missed"/>
    <s v="On-time"/>
    <s v="Late"/>
    <s v="Late"/>
    <s v="Missed"/>
    <s v="Late"/>
    <m/>
    <m/>
    <m/>
    <m/>
  </r>
  <r>
    <s v="CUST0484"/>
    <n v="49"/>
    <x v="263"/>
    <x v="42"/>
    <x v="475"/>
    <n v="3"/>
    <x v="0"/>
    <n v="7468"/>
    <n v="0.40571929989849098"/>
    <s v="employed"/>
    <n v="12"/>
    <s v="Platinum"/>
    <s v="New York"/>
    <s v="Missed"/>
    <s v="On-time"/>
    <s v="On-time"/>
    <s v="Late"/>
    <s v="Missed"/>
    <s v="On-time"/>
    <m/>
    <m/>
    <m/>
    <m/>
  </r>
  <r>
    <s v="CUST0485"/>
    <n v="40"/>
    <x v="122"/>
    <x v="198"/>
    <x v="476"/>
    <n v="5"/>
    <x v="0"/>
    <n v="76567"/>
    <n v="0.20137755137174801"/>
    <s v="employed"/>
    <n v="14"/>
    <s v="Standard"/>
    <s v="Houston"/>
    <s v="Missed"/>
    <s v="On-time"/>
    <s v="Late"/>
    <s v="Missed"/>
    <s v="On-time"/>
    <s v="On-time"/>
    <m/>
    <m/>
    <m/>
    <m/>
  </r>
  <r>
    <s v="CUST0486"/>
    <n v="39"/>
    <x v="183"/>
    <x v="66"/>
    <x v="477"/>
    <n v="6"/>
    <x v="0"/>
    <n v="37463"/>
    <n v="0.44185566863918502"/>
    <s v="EMP"/>
    <n v="14"/>
    <s v="Standard"/>
    <s v="Chicago"/>
    <s v="Missed"/>
    <s v="Missed"/>
    <s v="On-time"/>
    <s v="Late"/>
    <s v="Missed"/>
    <s v="Late"/>
    <m/>
    <m/>
    <m/>
    <m/>
  </r>
  <r>
    <s v="CUST0487"/>
    <n v="68"/>
    <x v="88"/>
    <x v="121"/>
    <x v="478"/>
    <n v="6"/>
    <x v="0"/>
    <n v="53553"/>
    <n v="0.38428312447284302"/>
    <s v="retired"/>
    <n v="4"/>
    <s v="Business"/>
    <s v="Houston"/>
    <s v="On-time"/>
    <s v="Late"/>
    <s v="On-time"/>
    <s v="On-time"/>
    <s v="On-time"/>
    <s v="On-time"/>
    <m/>
    <m/>
    <m/>
    <m/>
  </r>
  <r>
    <s v="CUST0488"/>
    <n v="42"/>
    <x v="264"/>
    <x v="209"/>
    <x v="479"/>
    <n v="1"/>
    <x v="0"/>
    <n v="86846"/>
    <n v="0.42064801554150499"/>
    <s v="Unemployed"/>
    <n v="18"/>
    <s v="Platinum"/>
    <s v="New York"/>
    <s v="On-time"/>
    <s v="Missed"/>
    <s v="Late"/>
    <s v="Missed"/>
    <s v="Missed"/>
    <s v="On-time"/>
    <m/>
    <m/>
    <m/>
    <m/>
  </r>
  <r>
    <s v="CUST0489"/>
    <n v="39"/>
    <x v="102"/>
    <x v="231"/>
    <x v="480"/>
    <n v="3"/>
    <x v="0"/>
    <n v="64110"/>
    <n v="0.31895638564346301"/>
    <s v="Self-employed"/>
    <n v="19"/>
    <s v="Gold"/>
    <s v="New York"/>
    <s v="Late"/>
    <s v="Missed"/>
    <s v="Late"/>
    <s v="On-time"/>
    <s v="On-time"/>
    <s v="Missed"/>
    <m/>
    <m/>
    <m/>
    <m/>
  </r>
  <r>
    <s v="CUST0490"/>
    <n v="39"/>
    <x v="265"/>
    <x v="145"/>
    <x v="481"/>
    <n v="5"/>
    <x v="0"/>
    <n v="36029"/>
    <n v="0.200723482424817"/>
    <s v="employed"/>
    <n v="13"/>
    <s v="Business"/>
    <s v="Los Angeles"/>
    <s v="On-time"/>
    <s v="Missed"/>
    <s v="On-time"/>
    <s v="On-time"/>
    <s v="Late"/>
    <s v="On-time"/>
    <m/>
    <m/>
    <m/>
    <m/>
  </r>
  <r>
    <s v="CUST0491"/>
    <n v="66"/>
    <x v="266"/>
    <x v="148"/>
    <x v="482"/>
    <n v="2"/>
    <x v="0"/>
    <n v="77743"/>
    <n v="0.37808154278141298"/>
    <s v="Self-employed"/>
    <n v="16"/>
    <s v="Platinum"/>
    <s v="Chicago"/>
    <s v="Late"/>
    <s v="Missed"/>
    <s v="On-time"/>
    <s v="On-time"/>
    <s v="Missed"/>
    <s v="On-time"/>
    <m/>
    <m/>
    <m/>
    <m/>
  </r>
  <r>
    <s v="CUST0492"/>
    <n v="69"/>
    <x v="255"/>
    <x v="132"/>
    <x v="483"/>
    <n v="0"/>
    <x v="0"/>
    <n v="32630"/>
    <n v="0.23753990932316599"/>
    <s v="employed"/>
    <n v="17"/>
    <s v="Standard"/>
    <s v="New York"/>
    <s v="Missed"/>
    <s v="Missed"/>
    <s v="Missed"/>
    <s v="Late"/>
    <s v="Late"/>
    <s v="On-time"/>
    <m/>
    <m/>
    <m/>
    <m/>
  </r>
  <r>
    <s v="CUST0493"/>
    <n v="59"/>
    <x v="159"/>
    <x v="228"/>
    <x v="484"/>
    <n v="5"/>
    <x v="0"/>
    <n v="23047"/>
    <n v="0.311788450610335"/>
    <s v="Unemployed"/>
    <n v="2"/>
    <s v="Platinum"/>
    <s v="Phoenix"/>
    <s v="Missed"/>
    <s v="Missed"/>
    <s v="Late"/>
    <s v="Late"/>
    <s v="On-time"/>
    <s v="Late"/>
    <m/>
    <m/>
    <m/>
    <m/>
  </r>
  <r>
    <s v="CUST0494"/>
    <n v="23"/>
    <x v="267"/>
    <x v="85"/>
    <x v="485"/>
    <n v="6"/>
    <x v="0"/>
    <n v="5539"/>
    <n v="0.28286490071963799"/>
    <s v="Unemployed"/>
    <n v="1"/>
    <s v="Standard"/>
    <s v="Chicago"/>
    <s v="Missed"/>
    <s v="On-time"/>
    <s v="On-time"/>
    <s v="On-time"/>
    <s v="Missed"/>
    <s v="On-time"/>
    <m/>
    <m/>
    <m/>
    <m/>
  </r>
  <r>
    <s v="CUST0495"/>
    <n v="32"/>
    <x v="38"/>
    <x v="139"/>
    <x v="486"/>
    <n v="6"/>
    <x v="1"/>
    <n v="16699"/>
    <n v="0.412469585679689"/>
    <s v="employed"/>
    <n v="0"/>
    <s v="Business"/>
    <s v="Chicago"/>
    <s v="Late"/>
    <s v="Late"/>
    <s v="Late"/>
    <s v="On-time"/>
    <s v="On-time"/>
    <s v="On-time"/>
    <m/>
    <m/>
    <m/>
    <m/>
  </r>
  <r>
    <s v="CUST0496"/>
    <n v="71"/>
    <x v="177"/>
    <x v="232"/>
    <x v="487"/>
    <n v="2"/>
    <x v="0"/>
    <n v="12707"/>
    <n v="0.37303270059233201"/>
    <s v="retired"/>
    <n v="9"/>
    <s v="Business"/>
    <s v="Phoenix"/>
    <s v="On-time"/>
    <s v="On-time"/>
    <s v="Missed"/>
    <s v="On-time"/>
    <s v="On-time"/>
    <s v="Late"/>
    <m/>
    <m/>
    <m/>
    <m/>
  </r>
  <r>
    <s v="CUST0497"/>
    <n v="60"/>
    <x v="268"/>
    <x v="141"/>
    <x v="488"/>
    <n v="2"/>
    <x v="1"/>
    <n v="45595"/>
    <n v="0.29194342016876201"/>
    <s v="Unemployed"/>
    <n v="18"/>
    <s v="Student"/>
    <s v="Houston"/>
    <s v="On-time"/>
    <s v="On-time"/>
    <s v="Late"/>
    <s v="Late"/>
    <s v="Late"/>
    <s v="Missed"/>
    <m/>
    <m/>
    <m/>
    <m/>
  </r>
  <r>
    <s v="CUST0498"/>
    <n v="54"/>
    <x v="78"/>
    <x v="23"/>
    <x v="489"/>
    <n v="0"/>
    <x v="0"/>
    <n v="44449"/>
    <n v="0.104839280645984"/>
    <s v="employed"/>
    <n v="16"/>
    <s v="Student"/>
    <s v="Phoenix"/>
    <s v="On-time"/>
    <s v="Late"/>
    <s v="Late"/>
    <s v="On-time"/>
    <s v="Late"/>
    <s v="Missed"/>
    <m/>
    <m/>
    <m/>
    <m/>
  </r>
  <r>
    <s v="CUST0499"/>
    <n v="50"/>
    <x v="269"/>
    <x v="233"/>
    <x v="490"/>
    <n v="2"/>
    <x v="1"/>
    <n v="11155"/>
    <n v="0.236477253347079"/>
    <s v="employed"/>
    <n v="11"/>
    <s v="Student"/>
    <s v="Phoenix"/>
    <s v="Late"/>
    <s v="On-time"/>
    <s v="Late"/>
    <s v="Missed"/>
    <s v="On-time"/>
    <s v="Missed"/>
    <m/>
    <m/>
    <m/>
    <m/>
  </r>
  <r>
    <s v="CUST0500"/>
    <n v="25"/>
    <x v="270"/>
    <x v="234"/>
    <x v="491"/>
    <n v="1"/>
    <x v="0"/>
    <n v="36968"/>
    <n v="0.37042222894844101"/>
    <s v="Self-employed"/>
    <n v="0"/>
    <s v="Business"/>
    <s v="Houston"/>
    <s v="Missed"/>
    <s v="Late"/>
    <s v="Late"/>
    <s v="On-time"/>
    <s v="Late"/>
    <s v="On-time"/>
    <m/>
    <m/>
    <m/>
    <m/>
  </r>
  <r>
    <m/>
    <m/>
    <x v="271"/>
    <x v="235"/>
    <x v="492"/>
    <m/>
    <x v="2"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DC3E58-26EB-4E76-A39D-AB29E4CCA70E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1" firstHeaderRow="1" firstDataRow="2" firstDataCol="1"/>
  <pivotFields count="23">
    <pivotField dataField="1" showAll="0"/>
    <pivotField showAll="0"/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52D71-B067-4115-AF5C-181C0919BA24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2" firstHeaderRow="1" firstDataRow="2" firstDataCol="1"/>
  <pivotFields count="23">
    <pivotField dataField="1" showAll="0"/>
    <pivotField showAll="0"/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B0C152-52E6-4CAE-8FEA-C24CECF03A11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5" firstHeaderRow="1" firstDataRow="2" firstDataCol="1"/>
  <pivotFields count="23">
    <pivotField dataField="1" showAll="0"/>
    <pivotField showAll="0"/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962B24-3FE3-4B4C-BEE6-78F513B3B1C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9">
    <pivotField showAll="0"/>
    <pivotField showAll="0"/>
    <pivotField showAll="0"/>
    <pivotField showAll="0"/>
    <pivotField showAll="0"/>
    <pivotField showAll="0">
      <items count="8">
        <item x="2"/>
        <item x="6"/>
        <item x="3"/>
        <item x="0"/>
        <item x="5"/>
        <item x="4"/>
        <item x="1"/>
        <item t="default"/>
      </items>
    </pivotField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Delinquent_Account" fld="6" subtotal="count" baseField="5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5B21D6-EBFE-4F3A-AFFE-32499F2A978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" firstHeaderRow="1" firstDataRow="2" firstDataCol="1"/>
  <pivotFields count="19">
    <pivotField dataField="1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showAll="0"/>
    <pivotField showAll="0"/>
    <pivotField showAll="0"/>
    <pivotField axis="axisRow" showAll="0">
      <items count="8">
        <item x="2"/>
        <item x="6"/>
        <item x="3"/>
        <item x="0"/>
        <item x="5"/>
        <item x="4"/>
        <item x="1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4D3CC-9F52-4C6D-B25F-8FAB727F007C}">
  <dimension ref="A3:E11"/>
  <sheetViews>
    <sheetView zoomScale="56" workbookViewId="0">
      <selection activeCell="A5" sqref="A5"/>
    </sheetView>
  </sheetViews>
  <sheetFormatPr defaultRowHeight="16" x14ac:dyDescent="0.4"/>
  <cols>
    <col min="1" max="1" width="19.08203125" bestFit="1" customWidth="1"/>
    <col min="2" max="2" width="16.75" bestFit="1" customWidth="1"/>
    <col min="3" max="3" width="3.08203125" bestFit="1" customWidth="1"/>
    <col min="4" max="4" width="6.6640625" bestFit="1" customWidth="1"/>
    <col min="5" max="5" width="10.33203125" bestFit="1" customWidth="1"/>
  </cols>
  <sheetData>
    <row r="3" spans="1:5" x14ac:dyDescent="0.4">
      <c r="A3" s="1" t="s">
        <v>542</v>
      </c>
      <c r="B3" s="1" t="s">
        <v>541</v>
      </c>
    </row>
    <row r="4" spans="1:5" x14ac:dyDescent="0.4">
      <c r="A4" s="1" t="s">
        <v>538</v>
      </c>
      <c r="B4">
        <v>0</v>
      </c>
      <c r="C4">
        <v>1</v>
      </c>
      <c r="D4" t="s">
        <v>544</v>
      </c>
      <c r="E4" t="s">
        <v>539</v>
      </c>
    </row>
    <row r="5" spans="1:5" x14ac:dyDescent="0.4">
      <c r="A5" s="2" t="s">
        <v>544</v>
      </c>
      <c r="B5" s="4"/>
      <c r="C5" s="4"/>
      <c r="D5" s="4"/>
      <c r="E5" s="4"/>
    </row>
    <row r="6" spans="1:5" x14ac:dyDescent="0.4">
      <c r="A6" s="2" t="s">
        <v>545</v>
      </c>
      <c r="B6" s="4">
        <v>51</v>
      </c>
      <c r="C6" s="4">
        <v>4</v>
      </c>
      <c r="D6" s="4"/>
      <c r="E6" s="4">
        <v>55</v>
      </c>
    </row>
    <row r="7" spans="1:5" x14ac:dyDescent="0.4">
      <c r="A7" s="2" t="s">
        <v>546</v>
      </c>
      <c r="B7" s="4">
        <v>135</v>
      </c>
      <c r="C7" s="4">
        <v>30</v>
      </c>
      <c r="D7" s="4"/>
      <c r="E7" s="4">
        <v>165</v>
      </c>
    </row>
    <row r="8" spans="1:5" x14ac:dyDescent="0.4">
      <c r="A8" s="2" t="s">
        <v>547</v>
      </c>
      <c r="B8" s="4">
        <v>138</v>
      </c>
      <c r="C8" s="4">
        <v>28</v>
      </c>
      <c r="D8" s="4"/>
      <c r="E8" s="4">
        <v>166</v>
      </c>
    </row>
    <row r="9" spans="1:5" x14ac:dyDescent="0.4">
      <c r="A9" s="2" t="s">
        <v>548</v>
      </c>
      <c r="B9" s="4">
        <v>79</v>
      </c>
      <c r="C9" s="4">
        <v>17</v>
      </c>
      <c r="D9" s="4"/>
      <c r="E9" s="4">
        <v>96</v>
      </c>
    </row>
    <row r="10" spans="1:5" x14ac:dyDescent="0.4">
      <c r="A10" s="2" t="s">
        <v>549</v>
      </c>
      <c r="B10" s="4">
        <v>17</v>
      </c>
      <c r="C10" s="4">
        <v>1</v>
      </c>
      <c r="D10" s="4"/>
      <c r="E10" s="4">
        <v>18</v>
      </c>
    </row>
    <row r="11" spans="1:5" x14ac:dyDescent="0.4">
      <c r="A11" s="2" t="s">
        <v>539</v>
      </c>
      <c r="B11" s="4">
        <v>420</v>
      </c>
      <c r="C11" s="4">
        <v>80</v>
      </c>
      <c r="D11" s="4"/>
      <c r="E11" s="4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1B504-8840-46E7-BF51-4776115A6B19}">
  <dimension ref="A3:E12"/>
  <sheetViews>
    <sheetView workbookViewId="0">
      <selection activeCell="A5" sqref="A5"/>
    </sheetView>
  </sheetViews>
  <sheetFormatPr defaultRowHeight="16" x14ac:dyDescent="0.4"/>
  <cols>
    <col min="1" max="1" width="19.08203125" bestFit="1" customWidth="1"/>
    <col min="2" max="2" width="15.33203125" bestFit="1" customWidth="1"/>
    <col min="3" max="3" width="2.75" bestFit="1" customWidth="1"/>
    <col min="4" max="4" width="6.6640625" bestFit="1" customWidth="1"/>
    <col min="5" max="5" width="10.33203125" bestFit="1" customWidth="1"/>
  </cols>
  <sheetData>
    <row r="3" spans="1:5" x14ac:dyDescent="0.4">
      <c r="A3" s="1" t="s">
        <v>542</v>
      </c>
      <c r="B3" s="1" t="s">
        <v>541</v>
      </c>
    </row>
    <row r="4" spans="1:5" x14ac:dyDescent="0.4">
      <c r="A4" s="1" t="s">
        <v>538</v>
      </c>
      <c r="B4">
        <v>0</v>
      </c>
      <c r="C4">
        <v>1</v>
      </c>
      <c r="D4" t="s">
        <v>544</v>
      </c>
      <c r="E4" t="s">
        <v>539</v>
      </c>
    </row>
    <row r="5" spans="1:5" x14ac:dyDescent="0.4">
      <c r="A5" s="2" t="s">
        <v>544</v>
      </c>
      <c r="B5" s="4"/>
      <c r="C5" s="4"/>
      <c r="D5" s="4"/>
      <c r="E5" s="4"/>
    </row>
    <row r="6" spans="1:5" x14ac:dyDescent="0.4">
      <c r="A6" s="2" t="s">
        <v>550</v>
      </c>
      <c r="B6" s="4">
        <v>89</v>
      </c>
      <c r="C6" s="4">
        <v>14</v>
      </c>
      <c r="D6" s="4"/>
      <c r="E6" s="4">
        <v>103</v>
      </c>
    </row>
    <row r="7" spans="1:5" x14ac:dyDescent="0.4">
      <c r="A7" s="2" t="s">
        <v>551</v>
      </c>
      <c r="B7" s="4">
        <v>66</v>
      </c>
      <c r="C7" s="4">
        <v>16</v>
      </c>
      <c r="D7" s="4"/>
      <c r="E7" s="4">
        <v>82</v>
      </c>
    </row>
    <row r="8" spans="1:5" x14ac:dyDescent="0.4">
      <c r="A8" s="2" t="s">
        <v>552</v>
      </c>
      <c r="B8" s="4">
        <v>71</v>
      </c>
      <c r="C8" s="4">
        <v>6</v>
      </c>
      <c r="D8" s="4"/>
      <c r="E8" s="4">
        <v>77</v>
      </c>
    </row>
    <row r="9" spans="1:5" x14ac:dyDescent="0.4">
      <c r="A9" s="2" t="s">
        <v>553</v>
      </c>
      <c r="B9" s="4">
        <v>80</v>
      </c>
      <c r="C9" s="4">
        <v>19</v>
      </c>
      <c r="D9" s="4"/>
      <c r="E9" s="4">
        <v>99</v>
      </c>
    </row>
    <row r="10" spans="1:5" x14ac:dyDescent="0.4">
      <c r="A10" s="2" t="s">
        <v>554</v>
      </c>
      <c r="B10" s="4">
        <v>68</v>
      </c>
      <c r="C10" s="4">
        <v>13</v>
      </c>
      <c r="D10" s="4"/>
      <c r="E10" s="4">
        <v>81</v>
      </c>
    </row>
    <row r="11" spans="1:5" x14ac:dyDescent="0.4">
      <c r="A11" s="2" t="s">
        <v>555</v>
      </c>
      <c r="B11" s="4">
        <v>46</v>
      </c>
      <c r="C11" s="4">
        <v>12</v>
      </c>
      <c r="D11" s="4"/>
      <c r="E11" s="4">
        <v>58</v>
      </c>
    </row>
    <row r="12" spans="1:5" x14ac:dyDescent="0.4">
      <c r="A12" s="2" t="s">
        <v>539</v>
      </c>
      <c r="B12" s="4">
        <v>420</v>
      </c>
      <c r="C12" s="4">
        <v>80</v>
      </c>
      <c r="D12" s="4"/>
      <c r="E12" s="4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024C5-4BDC-47B2-96CB-4109D92FD3BE}">
  <dimension ref="A3:E25"/>
  <sheetViews>
    <sheetView tabSelected="1" topLeftCell="A7" workbookViewId="0">
      <selection activeCell="A5" sqref="A5"/>
    </sheetView>
  </sheetViews>
  <sheetFormatPr defaultRowHeight="16" x14ac:dyDescent="0.4"/>
  <cols>
    <col min="1" max="1" width="19.08203125" bestFit="1" customWidth="1"/>
    <col min="2" max="2" width="15.33203125" bestFit="1" customWidth="1"/>
    <col min="3" max="3" width="2.75" bestFit="1" customWidth="1"/>
    <col min="4" max="4" width="6.6640625" bestFit="1" customWidth="1"/>
    <col min="5" max="5" width="10.33203125" bestFit="1" customWidth="1"/>
  </cols>
  <sheetData>
    <row r="3" spans="1:5" x14ac:dyDescent="0.4">
      <c r="A3" s="1" t="s">
        <v>542</v>
      </c>
      <c r="B3" s="1" t="s">
        <v>541</v>
      </c>
    </row>
    <row r="4" spans="1:5" x14ac:dyDescent="0.4">
      <c r="A4" s="1" t="s">
        <v>538</v>
      </c>
      <c r="B4">
        <v>0</v>
      </c>
      <c r="C4">
        <v>1</v>
      </c>
      <c r="D4" t="s">
        <v>544</v>
      </c>
      <c r="E4" t="s">
        <v>539</v>
      </c>
    </row>
    <row r="5" spans="1:5" x14ac:dyDescent="0.4">
      <c r="A5" s="2" t="s">
        <v>544</v>
      </c>
      <c r="B5" s="4"/>
      <c r="C5" s="4"/>
      <c r="D5" s="4"/>
      <c r="E5" s="4"/>
    </row>
    <row r="6" spans="1:5" x14ac:dyDescent="0.4">
      <c r="A6" s="2" t="s">
        <v>556</v>
      </c>
      <c r="B6" s="4">
        <v>19</v>
      </c>
      <c r="C6" s="4">
        <v>3</v>
      </c>
      <c r="D6" s="4"/>
      <c r="E6" s="4">
        <v>22</v>
      </c>
    </row>
    <row r="7" spans="1:5" x14ac:dyDescent="0.4">
      <c r="A7" s="2" t="s">
        <v>557</v>
      </c>
      <c r="B7" s="4">
        <v>19</v>
      </c>
      <c r="C7" s="4">
        <v>2</v>
      </c>
      <c r="D7" s="4"/>
      <c r="E7" s="4">
        <v>21</v>
      </c>
    </row>
    <row r="8" spans="1:5" x14ac:dyDescent="0.4">
      <c r="A8" s="2" t="s">
        <v>558</v>
      </c>
      <c r="B8" s="4">
        <v>29</v>
      </c>
      <c r="C8" s="4">
        <v>5</v>
      </c>
      <c r="D8" s="4"/>
      <c r="E8" s="4">
        <v>34</v>
      </c>
    </row>
    <row r="9" spans="1:5" x14ac:dyDescent="0.4">
      <c r="A9" s="2" t="s">
        <v>559</v>
      </c>
      <c r="B9" s="4">
        <v>20</v>
      </c>
      <c r="C9" s="4">
        <v>2</v>
      </c>
      <c r="D9" s="4"/>
      <c r="E9" s="4">
        <v>22</v>
      </c>
    </row>
    <row r="10" spans="1:5" x14ac:dyDescent="0.4">
      <c r="A10" s="2" t="s">
        <v>560</v>
      </c>
      <c r="B10" s="4">
        <v>14</v>
      </c>
      <c r="C10" s="4">
        <v>5</v>
      </c>
      <c r="D10" s="4"/>
      <c r="E10" s="4">
        <v>19</v>
      </c>
    </row>
    <row r="11" spans="1:5" x14ac:dyDescent="0.4">
      <c r="A11" s="2" t="s">
        <v>561</v>
      </c>
      <c r="B11" s="4">
        <v>29</v>
      </c>
      <c r="C11" s="4">
        <v>5</v>
      </c>
      <c r="D11" s="4"/>
      <c r="E11" s="4">
        <v>34</v>
      </c>
    </row>
    <row r="12" spans="1:5" x14ac:dyDescent="0.4">
      <c r="A12" s="2" t="s">
        <v>562</v>
      </c>
      <c r="B12" s="4">
        <v>20</v>
      </c>
      <c r="C12" s="4">
        <v>3</v>
      </c>
      <c r="D12" s="4"/>
      <c r="E12" s="4">
        <v>23</v>
      </c>
    </row>
    <row r="13" spans="1:5" x14ac:dyDescent="0.4">
      <c r="A13" s="2" t="s">
        <v>563</v>
      </c>
      <c r="B13" s="4">
        <v>21</v>
      </c>
      <c r="C13" s="4">
        <v>3</v>
      </c>
      <c r="D13" s="4"/>
      <c r="E13" s="4">
        <v>24</v>
      </c>
    </row>
    <row r="14" spans="1:5" x14ac:dyDescent="0.4">
      <c r="A14" s="2" t="s">
        <v>564</v>
      </c>
      <c r="B14" s="4">
        <v>19</v>
      </c>
      <c r="C14" s="4">
        <v>5</v>
      </c>
      <c r="D14" s="4"/>
      <c r="E14" s="4">
        <v>24</v>
      </c>
    </row>
    <row r="15" spans="1:5" x14ac:dyDescent="0.4">
      <c r="A15" s="2" t="s">
        <v>565</v>
      </c>
      <c r="B15" s="4">
        <v>54</v>
      </c>
      <c r="C15" s="4">
        <v>10</v>
      </c>
      <c r="D15" s="4"/>
      <c r="E15" s="4">
        <v>64</v>
      </c>
    </row>
    <row r="16" spans="1:5" x14ac:dyDescent="0.4">
      <c r="A16" s="2" t="s">
        <v>566</v>
      </c>
      <c r="B16" s="4">
        <v>30</v>
      </c>
      <c r="C16" s="4">
        <v>4</v>
      </c>
      <c r="D16" s="4"/>
      <c r="E16" s="4">
        <v>34</v>
      </c>
    </row>
    <row r="17" spans="1:5" x14ac:dyDescent="0.4">
      <c r="A17" s="2" t="s">
        <v>567</v>
      </c>
      <c r="B17" s="4">
        <v>14</v>
      </c>
      <c r="C17" s="4">
        <v>3</v>
      </c>
      <c r="D17" s="4"/>
      <c r="E17" s="4">
        <v>17</v>
      </c>
    </row>
    <row r="18" spans="1:5" x14ac:dyDescent="0.4">
      <c r="A18" s="2" t="s">
        <v>568</v>
      </c>
      <c r="B18" s="4">
        <v>14</v>
      </c>
      <c r="C18" s="4">
        <v>5</v>
      </c>
      <c r="D18" s="4"/>
      <c r="E18" s="4">
        <v>19</v>
      </c>
    </row>
    <row r="19" spans="1:5" x14ac:dyDescent="0.4">
      <c r="A19" s="2" t="s">
        <v>569</v>
      </c>
      <c r="B19" s="4">
        <v>19</v>
      </c>
      <c r="C19" s="4">
        <v>7</v>
      </c>
      <c r="D19" s="4"/>
      <c r="E19" s="4">
        <v>26</v>
      </c>
    </row>
    <row r="20" spans="1:5" x14ac:dyDescent="0.4">
      <c r="A20" s="2" t="s">
        <v>570</v>
      </c>
      <c r="B20" s="4">
        <v>19</v>
      </c>
      <c r="C20" s="4">
        <v>2</v>
      </c>
      <c r="D20" s="4"/>
      <c r="E20" s="4">
        <v>21</v>
      </c>
    </row>
    <row r="21" spans="1:5" x14ac:dyDescent="0.4">
      <c r="A21" s="2" t="s">
        <v>571</v>
      </c>
      <c r="B21" s="4">
        <v>22</v>
      </c>
      <c r="C21" s="4">
        <v>3</v>
      </c>
      <c r="D21" s="4"/>
      <c r="E21" s="4">
        <v>25</v>
      </c>
    </row>
    <row r="22" spans="1:5" x14ac:dyDescent="0.4">
      <c r="A22" s="2" t="s">
        <v>572</v>
      </c>
      <c r="B22" s="4">
        <v>24</v>
      </c>
      <c r="C22" s="4">
        <v>3</v>
      </c>
      <c r="D22" s="4"/>
      <c r="E22" s="4">
        <v>27</v>
      </c>
    </row>
    <row r="23" spans="1:5" x14ac:dyDescent="0.4">
      <c r="A23" s="2" t="s">
        <v>573</v>
      </c>
      <c r="B23" s="4">
        <v>26</v>
      </c>
      <c r="C23" s="4">
        <v>6</v>
      </c>
      <c r="D23" s="4"/>
      <c r="E23" s="4">
        <v>32</v>
      </c>
    </row>
    <row r="24" spans="1:5" x14ac:dyDescent="0.4">
      <c r="A24" s="2" t="s">
        <v>574</v>
      </c>
      <c r="B24" s="4">
        <v>8</v>
      </c>
      <c r="C24" s="4">
        <v>4</v>
      </c>
      <c r="D24" s="4"/>
      <c r="E24" s="4">
        <v>12</v>
      </c>
    </row>
    <row r="25" spans="1:5" x14ac:dyDescent="0.4">
      <c r="A25" s="2" t="s">
        <v>539</v>
      </c>
      <c r="B25" s="4">
        <v>420</v>
      </c>
      <c r="C25" s="4">
        <v>80</v>
      </c>
      <c r="D25" s="4"/>
      <c r="E25" s="4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98CCF-2436-4FA8-B325-5F3D766C4BD9}">
  <dimension ref="A1:W501"/>
  <sheetViews>
    <sheetView zoomScale="78" zoomScaleNormal="45" workbookViewId="0">
      <selection sqref="A1:XFD1048576"/>
    </sheetView>
  </sheetViews>
  <sheetFormatPr defaultColWidth="10.6640625" defaultRowHeight="16" x14ac:dyDescent="0.4"/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U1">
        <f>MEDIAN(C2:C501)</f>
        <v>107658</v>
      </c>
      <c r="V1">
        <f>MEDIAN(D2:D501)</f>
        <v>586</v>
      </c>
      <c r="W1">
        <f>MEDIAN(H2:H501)</f>
        <v>45776</v>
      </c>
    </row>
    <row r="2" spans="1:23" x14ac:dyDescent="0.4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23" x14ac:dyDescent="0.4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23" x14ac:dyDescent="0.4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23" x14ac:dyDescent="0.4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23" x14ac:dyDescent="0.4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23" x14ac:dyDescent="0.4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23" x14ac:dyDescent="0.4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23" x14ac:dyDescent="0.4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23" x14ac:dyDescent="0.4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H10">
        <v>45776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23" x14ac:dyDescent="0.4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23" x14ac:dyDescent="0.4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23" x14ac:dyDescent="0.4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23" x14ac:dyDescent="0.4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23" x14ac:dyDescent="0.4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23" x14ac:dyDescent="0.4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 x14ac:dyDescent="0.4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 x14ac:dyDescent="0.4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 x14ac:dyDescent="0.4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 x14ac:dyDescent="0.4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 x14ac:dyDescent="0.4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 x14ac:dyDescent="0.4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 x14ac:dyDescent="0.4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 x14ac:dyDescent="0.4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 x14ac:dyDescent="0.4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H25">
        <v>45776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 x14ac:dyDescent="0.4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 x14ac:dyDescent="0.4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H27">
        <v>45776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 x14ac:dyDescent="0.4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 x14ac:dyDescent="0.4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 x14ac:dyDescent="0.4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H30">
        <v>45776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 x14ac:dyDescent="0.4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 x14ac:dyDescent="0.4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 x14ac:dyDescent="0.4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 x14ac:dyDescent="0.4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 x14ac:dyDescent="0.4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 x14ac:dyDescent="0.4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 x14ac:dyDescent="0.4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 x14ac:dyDescent="0.4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 x14ac:dyDescent="0.4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 x14ac:dyDescent="0.4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 x14ac:dyDescent="0.4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 x14ac:dyDescent="0.4">
      <c r="A42" t="s">
        <v>78</v>
      </c>
      <c r="B42">
        <v>61</v>
      </c>
      <c r="C42">
        <v>107658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 x14ac:dyDescent="0.4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 x14ac:dyDescent="0.4">
      <c r="A44" t="s">
        <v>80</v>
      </c>
      <c r="B44">
        <v>69</v>
      </c>
      <c r="C44">
        <v>107658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 x14ac:dyDescent="0.4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 x14ac:dyDescent="0.4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 x14ac:dyDescent="0.4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H47">
        <v>45776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 x14ac:dyDescent="0.4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 x14ac:dyDescent="0.4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 x14ac:dyDescent="0.4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 x14ac:dyDescent="0.4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 x14ac:dyDescent="0.4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 x14ac:dyDescent="0.4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H53">
        <v>45776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 x14ac:dyDescent="0.4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H54">
        <v>45776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 x14ac:dyDescent="0.4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 x14ac:dyDescent="0.4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 x14ac:dyDescent="0.4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 x14ac:dyDescent="0.4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 x14ac:dyDescent="0.4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 x14ac:dyDescent="0.4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 x14ac:dyDescent="0.4">
      <c r="A61" t="s">
        <v>97</v>
      </c>
      <c r="B61">
        <v>19</v>
      </c>
      <c r="C61">
        <v>107658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 x14ac:dyDescent="0.4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 x14ac:dyDescent="0.4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 x14ac:dyDescent="0.4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 x14ac:dyDescent="0.4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 x14ac:dyDescent="0.4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 x14ac:dyDescent="0.4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 x14ac:dyDescent="0.4">
      <c r="A68" t="s">
        <v>104</v>
      </c>
      <c r="B68">
        <v>64</v>
      </c>
      <c r="C68">
        <v>107658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 x14ac:dyDescent="0.4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 x14ac:dyDescent="0.4">
      <c r="A70" t="s">
        <v>106</v>
      </c>
      <c r="B70">
        <v>31</v>
      </c>
      <c r="C70">
        <v>107658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 x14ac:dyDescent="0.4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 x14ac:dyDescent="0.4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 x14ac:dyDescent="0.4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 x14ac:dyDescent="0.4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 x14ac:dyDescent="0.4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 x14ac:dyDescent="0.4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 x14ac:dyDescent="0.4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 x14ac:dyDescent="0.4">
      <c r="A78" t="s">
        <v>114</v>
      </c>
      <c r="B78">
        <v>71</v>
      </c>
      <c r="C78">
        <v>107658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 x14ac:dyDescent="0.4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 x14ac:dyDescent="0.4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 x14ac:dyDescent="0.4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 x14ac:dyDescent="0.4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 x14ac:dyDescent="0.4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 x14ac:dyDescent="0.4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 x14ac:dyDescent="0.4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 x14ac:dyDescent="0.4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 x14ac:dyDescent="0.4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 x14ac:dyDescent="0.4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 x14ac:dyDescent="0.4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 x14ac:dyDescent="0.4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 x14ac:dyDescent="0.4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 x14ac:dyDescent="0.4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 x14ac:dyDescent="0.4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 x14ac:dyDescent="0.4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 x14ac:dyDescent="0.4">
      <c r="A95" t="s">
        <v>131</v>
      </c>
      <c r="B95">
        <v>40</v>
      </c>
      <c r="C95">
        <v>107658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 x14ac:dyDescent="0.4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 x14ac:dyDescent="0.4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 x14ac:dyDescent="0.4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 x14ac:dyDescent="0.4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 x14ac:dyDescent="0.4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 x14ac:dyDescent="0.4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 x14ac:dyDescent="0.4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 x14ac:dyDescent="0.4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 x14ac:dyDescent="0.4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H104">
        <v>45776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 x14ac:dyDescent="0.4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 x14ac:dyDescent="0.4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H106">
        <v>45776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 x14ac:dyDescent="0.4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 x14ac:dyDescent="0.4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 x14ac:dyDescent="0.4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 x14ac:dyDescent="0.4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 x14ac:dyDescent="0.4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 x14ac:dyDescent="0.4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 x14ac:dyDescent="0.4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 x14ac:dyDescent="0.4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 x14ac:dyDescent="0.4">
      <c r="A115" t="s">
        <v>151</v>
      </c>
      <c r="B115">
        <v>26</v>
      </c>
      <c r="C115">
        <v>107658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 x14ac:dyDescent="0.4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 x14ac:dyDescent="0.4">
      <c r="A117" t="s">
        <v>153</v>
      </c>
      <c r="B117">
        <v>18</v>
      </c>
      <c r="C117">
        <v>121884</v>
      </c>
      <c r="D117">
        <v>586</v>
      </c>
      <c r="E117">
        <v>0.774861902635819</v>
      </c>
      <c r="F117">
        <v>4</v>
      </c>
      <c r="G117">
        <v>0</v>
      </c>
      <c r="H117">
        <v>45776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 x14ac:dyDescent="0.4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 x14ac:dyDescent="0.4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 x14ac:dyDescent="0.4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 x14ac:dyDescent="0.4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 x14ac:dyDescent="0.4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H122">
        <v>45776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 x14ac:dyDescent="0.4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 x14ac:dyDescent="0.4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 x14ac:dyDescent="0.4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 x14ac:dyDescent="0.4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H126">
        <v>45776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 x14ac:dyDescent="0.4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 x14ac:dyDescent="0.4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 x14ac:dyDescent="0.4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 x14ac:dyDescent="0.4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 x14ac:dyDescent="0.4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 x14ac:dyDescent="0.4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 x14ac:dyDescent="0.4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 x14ac:dyDescent="0.4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 x14ac:dyDescent="0.4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 x14ac:dyDescent="0.4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 x14ac:dyDescent="0.4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 x14ac:dyDescent="0.4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 x14ac:dyDescent="0.4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 x14ac:dyDescent="0.4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 x14ac:dyDescent="0.4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 x14ac:dyDescent="0.4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 x14ac:dyDescent="0.4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 x14ac:dyDescent="0.4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 x14ac:dyDescent="0.4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 x14ac:dyDescent="0.4">
      <c r="A146" t="s">
        <v>182</v>
      </c>
      <c r="B146">
        <v>57</v>
      </c>
      <c r="C146">
        <v>107658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 x14ac:dyDescent="0.4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 x14ac:dyDescent="0.4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 x14ac:dyDescent="0.4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 x14ac:dyDescent="0.4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 x14ac:dyDescent="0.4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 x14ac:dyDescent="0.4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 x14ac:dyDescent="0.4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 x14ac:dyDescent="0.4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 x14ac:dyDescent="0.4">
      <c r="A155" t="s">
        <v>191</v>
      </c>
      <c r="B155">
        <v>20</v>
      </c>
      <c r="C155">
        <v>107658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 x14ac:dyDescent="0.4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 x14ac:dyDescent="0.4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 x14ac:dyDescent="0.4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 x14ac:dyDescent="0.4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 x14ac:dyDescent="0.4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 x14ac:dyDescent="0.4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 x14ac:dyDescent="0.4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 x14ac:dyDescent="0.4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 x14ac:dyDescent="0.4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 x14ac:dyDescent="0.4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 x14ac:dyDescent="0.4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H166">
        <v>45776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 x14ac:dyDescent="0.4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 x14ac:dyDescent="0.4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 x14ac:dyDescent="0.4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 x14ac:dyDescent="0.4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 x14ac:dyDescent="0.4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 x14ac:dyDescent="0.4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 x14ac:dyDescent="0.4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 x14ac:dyDescent="0.4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 x14ac:dyDescent="0.4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 x14ac:dyDescent="0.4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 x14ac:dyDescent="0.4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 x14ac:dyDescent="0.4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 x14ac:dyDescent="0.4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H179">
        <v>45776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 x14ac:dyDescent="0.4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 x14ac:dyDescent="0.4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 x14ac:dyDescent="0.4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 x14ac:dyDescent="0.4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 x14ac:dyDescent="0.4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 x14ac:dyDescent="0.4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 x14ac:dyDescent="0.4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 x14ac:dyDescent="0.4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 x14ac:dyDescent="0.4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 x14ac:dyDescent="0.4">
      <c r="A189" t="s">
        <v>225</v>
      </c>
      <c r="B189">
        <v>39</v>
      </c>
      <c r="C189">
        <v>107658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 x14ac:dyDescent="0.4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 x14ac:dyDescent="0.4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 x14ac:dyDescent="0.4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 x14ac:dyDescent="0.4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H193">
        <v>45776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 x14ac:dyDescent="0.4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 x14ac:dyDescent="0.4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 x14ac:dyDescent="0.4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 x14ac:dyDescent="0.4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H197">
        <v>45776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 x14ac:dyDescent="0.4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 x14ac:dyDescent="0.4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 x14ac:dyDescent="0.4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 x14ac:dyDescent="0.4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 x14ac:dyDescent="0.4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 x14ac:dyDescent="0.4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 x14ac:dyDescent="0.4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 x14ac:dyDescent="0.4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 x14ac:dyDescent="0.4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 x14ac:dyDescent="0.4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 x14ac:dyDescent="0.4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 x14ac:dyDescent="0.4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 x14ac:dyDescent="0.4">
      <c r="A210" t="s">
        <v>246</v>
      </c>
      <c r="B210">
        <v>74</v>
      </c>
      <c r="C210">
        <v>107658</v>
      </c>
      <c r="D210">
        <v>709</v>
      </c>
      <c r="E210">
        <v>0.97272668873507695</v>
      </c>
      <c r="F210">
        <v>5</v>
      </c>
      <c r="G210">
        <v>0</v>
      </c>
      <c r="H210">
        <v>45776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 x14ac:dyDescent="0.4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 x14ac:dyDescent="0.4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 x14ac:dyDescent="0.4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 x14ac:dyDescent="0.4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 x14ac:dyDescent="0.4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 x14ac:dyDescent="0.4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 x14ac:dyDescent="0.4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 x14ac:dyDescent="0.4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 x14ac:dyDescent="0.4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 x14ac:dyDescent="0.4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 x14ac:dyDescent="0.4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 x14ac:dyDescent="0.4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 x14ac:dyDescent="0.4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 x14ac:dyDescent="0.4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 x14ac:dyDescent="0.4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 x14ac:dyDescent="0.4">
      <c r="A226" t="s">
        <v>262</v>
      </c>
      <c r="B226">
        <v>61</v>
      </c>
      <c r="C226">
        <v>107658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 x14ac:dyDescent="0.4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 x14ac:dyDescent="0.4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 x14ac:dyDescent="0.4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 x14ac:dyDescent="0.4">
      <c r="A230" t="s">
        <v>266</v>
      </c>
      <c r="B230">
        <v>49</v>
      </c>
      <c r="C230">
        <v>107658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 x14ac:dyDescent="0.4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 x14ac:dyDescent="0.4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 x14ac:dyDescent="0.4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 x14ac:dyDescent="0.4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 x14ac:dyDescent="0.4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 x14ac:dyDescent="0.4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 x14ac:dyDescent="0.4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 x14ac:dyDescent="0.4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 x14ac:dyDescent="0.4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 x14ac:dyDescent="0.4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 x14ac:dyDescent="0.4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 x14ac:dyDescent="0.4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 x14ac:dyDescent="0.4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 x14ac:dyDescent="0.4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 x14ac:dyDescent="0.4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H245">
        <v>45776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 x14ac:dyDescent="0.4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 x14ac:dyDescent="0.4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 x14ac:dyDescent="0.4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 x14ac:dyDescent="0.4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 x14ac:dyDescent="0.4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 x14ac:dyDescent="0.4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 x14ac:dyDescent="0.4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 x14ac:dyDescent="0.4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 x14ac:dyDescent="0.4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 x14ac:dyDescent="0.4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 x14ac:dyDescent="0.4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 x14ac:dyDescent="0.4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 x14ac:dyDescent="0.4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 x14ac:dyDescent="0.4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 x14ac:dyDescent="0.4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 x14ac:dyDescent="0.4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 x14ac:dyDescent="0.4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 x14ac:dyDescent="0.4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 x14ac:dyDescent="0.4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 x14ac:dyDescent="0.4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 x14ac:dyDescent="0.4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 x14ac:dyDescent="0.4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 x14ac:dyDescent="0.4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 x14ac:dyDescent="0.4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 x14ac:dyDescent="0.4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 x14ac:dyDescent="0.4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 x14ac:dyDescent="0.4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 x14ac:dyDescent="0.4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 x14ac:dyDescent="0.4">
      <c r="A274" t="s">
        <v>310</v>
      </c>
      <c r="B274">
        <v>69</v>
      </c>
      <c r="C274">
        <v>107658</v>
      </c>
      <c r="D274">
        <v>423</v>
      </c>
      <c r="E274">
        <v>0.47878761819239202</v>
      </c>
      <c r="F274">
        <v>0</v>
      </c>
      <c r="G274">
        <v>1</v>
      </c>
      <c r="H274">
        <v>45776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 x14ac:dyDescent="0.4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 x14ac:dyDescent="0.4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 x14ac:dyDescent="0.4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 x14ac:dyDescent="0.4">
      <c r="A278" t="s">
        <v>314</v>
      </c>
      <c r="B278">
        <v>28</v>
      </c>
      <c r="C278">
        <v>107658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 x14ac:dyDescent="0.4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 x14ac:dyDescent="0.4">
      <c r="A280" t="s">
        <v>316</v>
      </c>
      <c r="B280">
        <v>33</v>
      </c>
      <c r="C280">
        <v>107658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 x14ac:dyDescent="0.4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 x14ac:dyDescent="0.4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 x14ac:dyDescent="0.4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H283">
        <v>45776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 x14ac:dyDescent="0.4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 x14ac:dyDescent="0.4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 x14ac:dyDescent="0.4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 x14ac:dyDescent="0.4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 x14ac:dyDescent="0.4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 x14ac:dyDescent="0.4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 x14ac:dyDescent="0.4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 x14ac:dyDescent="0.4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 x14ac:dyDescent="0.4">
      <c r="A292" t="s">
        <v>328</v>
      </c>
      <c r="B292">
        <v>36</v>
      </c>
      <c r="C292">
        <v>107658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 x14ac:dyDescent="0.4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 x14ac:dyDescent="0.4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 x14ac:dyDescent="0.4">
      <c r="A295" t="s">
        <v>331</v>
      </c>
      <c r="B295">
        <v>24</v>
      </c>
      <c r="C295">
        <v>107658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 x14ac:dyDescent="0.4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 x14ac:dyDescent="0.4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 x14ac:dyDescent="0.4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 x14ac:dyDescent="0.4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 x14ac:dyDescent="0.4">
      <c r="A300" t="s">
        <v>336</v>
      </c>
      <c r="B300">
        <v>56</v>
      </c>
      <c r="C300">
        <v>107658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 x14ac:dyDescent="0.4">
      <c r="A301" t="s">
        <v>337</v>
      </c>
      <c r="B301">
        <v>35</v>
      </c>
      <c r="C301">
        <v>107658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 x14ac:dyDescent="0.4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 x14ac:dyDescent="0.4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 x14ac:dyDescent="0.4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 x14ac:dyDescent="0.4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 x14ac:dyDescent="0.4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 x14ac:dyDescent="0.4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 x14ac:dyDescent="0.4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 x14ac:dyDescent="0.4">
      <c r="A309" t="s">
        <v>345</v>
      </c>
      <c r="B309">
        <v>40</v>
      </c>
      <c r="C309">
        <v>107658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 x14ac:dyDescent="0.4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 x14ac:dyDescent="0.4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 x14ac:dyDescent="0.4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 x14ac:dyDescent="0.4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 x14ac:dyDescent="0.4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 x14ac:dyDescent="0.4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 x14ac:dyDescent="0.4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 x14ac:dyDescent="0.4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 x14ac:dyDescent="0.4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 x14ac:dyDescent="0.4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 x14ac:dyDescent="0.4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 x14ac:dyDescent="0.4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 x14ac:dyDescent="0.4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 x14ac:dyDescent="0.4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 x14ac:dyDescent="0.4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 x14ac:dyDescent="0.4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 x14ac:dyDescent="0.4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 x14ac:dyDescent="0.4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 x14ac:dyDescent="0.4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 x14ac:dyDescent="0.4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 x14ac:dyDescent="0.4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 x14ac:dyDescent="0.4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 x14ac:dyDescent="0.4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 x14ac:dyDescent="0.4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 x14ac:dyDescent="0.4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 x14ac:dyDescent="0.4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 x14ac:dyDescent="0.4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 x14ac:dyDescent="0.4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 x14ac:dyDescent="0.4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 x14ac:dyDescent="0.4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 x14ac:dyDescent="0.4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 x14ac:dyDescent="0.4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 x14ac:dyDescent="0.4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 x14ac:dyDescent="0.4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 x14ac:dyDescent="0.4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H344">
        <v>45776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 x14ac:dyDescent="0.4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 x14ac:dyDescent="0.4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 x14ac:dyDescent="0.4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 x14ac:dyDescent="0.4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 x14ac:dyDescent="0.4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 x14ac:dyDescent="0.4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 x14ac:dyDescent="0.4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 x14ac:dyDescent="0.4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 x14ac:dyDescent="0.4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 x14ac:dyDescent="0.4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 x14ac:dyDescent="0.4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 x14ac:dyDescent="0.4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 x14ac:dyDescent="0.4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 x14ac:dyDescent="0.4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 x14ac:dyDescent="0.4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 x14ac:dyDescent="0.4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 x14ac:dyDescent="0.4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 x14ac:dyDescent="0.4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 x14ac:dyDescent="0.4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 x14ac:dyDescent="0.4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 x14ac:dyDescent="0.4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 x14ac:dyDescent="0.4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 x14ac:dyDescent="0.4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 x14ac:dyDescent="0.4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 x14ac:dyDescent="0.4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 x14ac:dyDescent="0.4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 x14ac:dyDescent="0.4">
      <c r="A371" t="s">
        <v>407</v>
      </c>
      <c r="B371">
        <v>37</v>
      </c>
      <c r="C371">
        <v>107658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 x14ac:dyDescent="0.4">
      <c r="A372" t="s">
        <v>408</v>
      </c>
      <c r="B372">
        <v>73</v>
      </c>
      <c r="C372">
        <v>107658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 x14ac:dyDescent="0.4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 x14ac:dyDescent="0.4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 x14ac:dyDescent="0.4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 x14ac:dyDescent="0.4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 x14ac:dyDescent="0.4">
      <c r="A377" t="s">
        <v>413</v>
      </c>
      <c r="B377">
        <v>50</v>
      </c>
      <c r="C377">
        <v>107658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 x14ac:dyDescent="0.4">
      <c r="A378" t="s">
        <v>414</v>
      </c>
      <c r="B378">
        <v>65</v>
      </c>
      <c r="C378">
        <v>107658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 x14ac:dyDescent="0.4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 x14ac:dyDescent="0.4">
      <c r="A380" t="s">
        <v>416</v>
      </c>
      <c r="B380">
        <v>68</v>
      </c>
      <c r="C380">
        <v>107658</v>
      </c>
      <c r="D380">
        <v>586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 x14ac:dyDescent="0.4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 x14ac:dyDescent="0.4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 x14ac:dyDescent="0.4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 x14ac:dyDescent="0.4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 x14ac:dyDescent="0.4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 x14ac:dyDescent="0.4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 x14ac:dyDescent="0.4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 x14ac:dyDescent="0.4">
      <c r="A388" t="s">
        <v>424</v>
      </c>
      <c r="B388">
        <v>62</v>
      </c>
      <c r="C388">
        <v>107658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 x14ac:dyDescent="0.4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 x14ac:dyDescent="0.4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 x14ac:dyDescent="0.4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 x14ac:dyDescent="0.4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 x14ac:dyDescent="0.4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 x14ac:dyDescent="0.4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 x14ac:dyDescent="0.4">
      <c r="A395" t="s">
        <v>431</v>
      </c>
      <c r="B395">
        <v>38</v>
      </c>
      <c r="C395">
        <v>107658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 x14ac:dyDescent="0.4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 x14ac:dyDescent="0.4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H397">
        <v>45776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 x14ac:dyDescent="0.4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 x14ac:dyDescent="0.4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 x14ac:dyDescent="0.4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 x14ac:dyDescent="0.4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 x14ac:dyDescent="0.4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 x14ac:dyDescent="0.4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 x14ac:dyDescent="0.4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 x14ac:dyDescent="0.4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 x14ac:dyDescent="0.4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 x14ac:dyDescent="0.4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 x14ac:dyDescent="0.4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 x14ac:dyDescent="0.4">
      <c r="A409" t="s">
        <v>445</v>
      </c>
      <c r="B409">
        <v>45</v>
      </c>
      <c r="C409">
        <v>107658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 x14ac:dyDescent="0.4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 x14ac:dyDescent="0.4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 x14ac:dyDescent="0.4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 x14ac:dyDescent="0.4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 x14ac:dyDescent="0.4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H414">
        <v>45776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 x14ac:dyDescent="0.4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 x14ac:dyDescent="0.4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 x14ac:dyDescent="0.4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 x14ac:dyDescent="0.4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 x14ac:dyDescent="0.4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 x14ac:dyDescent="0.4">
      <c r="A420" t="s">
        <v>456</v>
      </c>
      <c r="B420">
        <v>66</v>
      </c>
      <c r="C420">
        <v>107658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 x14ac:dyDescent="0.4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 x14ac:dyDescent="0.4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 x14ac:dyDescent="0.4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 x14ac:dyDescent="0.4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 x14ac:dyDescent="0.4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 x14ac:dyDescent="0.4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 x14ac:dyDescent="0.4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 x14ac:dyDescent="0.4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 x14ac:dyDescent="0.4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 x14ac:dyDescent="0.4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 x14ac:dyDescent="0.4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 x14ac:dyDescent="0.4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 x14ac:dyDescent="0.4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 x14ac:dyDescent="0.4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 x14ac:dyDescent="0.4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 x14ac:dyDescent="0.4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 x14ac:dyDescent="0.4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 x14ac:dyDescent="0.4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 x14ac:dyDescent="0.4">
      <c r="A439" t="s">
        <v>475</v>
      </c>
      <c r="B439">
        <v>63</v>
      </c>
      <c r="C439">
        <v>107658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 x14ac:dyDescent="0.4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 x14ac:dyDescent="0.4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H441">
        <v>45776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 x14ac:dyDescent="0.4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 x14ac:dyDescent="0.4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 x14ac:dyDescent="0.4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 x14ac:dyDescent="0.4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 x14ac:dyDescent="0.4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 x14ac:dyDescent="0.4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 x14ac:dyDescent="0.4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 x14ac:dyDescent="0.4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 x14ac:dyDescent="0.4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 x14ac:dyDescent="0.4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 x14ac:dyDescent="0.4">
      <c r="A452" t="s">
        <v>488</v>
      </c>
      <c r="B452">
        <v>57</v>
      </c>
      <c r="C452">
        <v>107658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 x14ac:dyDescent="0.4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 x14ac:dyDescent="0.4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 x14ac:dyDescent="0.4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H455">
        <v>45776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 x14ac:dyDescent="0.4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 x14ac:dyDescent="0.4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 x14ac:dyDescent="0.4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 x14ac:dyDescent="0.4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 x14ac:dyDescent="0.4">
      <c r="A460" t="s">
        <v>496</v>
      </c>
      <c r="B460">
        <v>59</v>
      </c>
      <c r="C460">
        <v>107658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 x14ac:dyDescent="0.4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H461">
        <v>45776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 x14ac:dyDescent="0.4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 x14ac:dyDescent="0.4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 x14ac:dyDescent="0.4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 x14ac:dyDescent="0.4">
      <c r="A465" t="s">
        <v>501</v>
      </c>
      <c r="B465">
        <v>42</v>
      </c>
      <c r="C465">
        <v>107658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 x14ac:dyDescent="0.4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 x14ac:dyDescent="0.4">
      <c r="A467" t="s">
        <v>503</v>
      </c>
      <c r="B467">
        <v>30</v>
      </c>
      <c r="C467">
        <v>107658</v>
      </c>
      <c r="D467">
        <v>664</v>
      </c>
      <c r="E467">
        <v>0.90297571222484196</v>
      </c>
      <c r="F467">
        <v>5</v>
      </c>
      <c r="G467">
        <v>0</v>
      </c>
      <c r="H467">
        <v>45776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 x14ac:dyDescent="0.4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 x14ac:dyDescent="0.4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 x14ac:dyDescent="0.4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 x14ac:dyDescent="0.4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 x14ac:dyDescent="0.4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 x14ac:dyDescent="0.4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 x14ac:dyDescent="0.4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 x14ac:dyDescent="0.4">
      <c r="A475" t="s">
        <v>511</v>
      </c>
      <c r="B475">
        <v>63</v>
      </c>
      <c r="C475">
        <v>107658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 x14ac:dyDescent="0.4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 x14ac:dyDescent="0.4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 x14ac:dyDescent="0.4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 x14ac:dyDescent="0.4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 x14ac:dyDescent="0.4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 x14ac:dyDescent="0.4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 x14ac:dyDescent="0.4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 x14ac:dyDescent="0.4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H483">
        <v>45776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 x14ac:dyDescent="0.4">
      <c r="A484" t="s">
        <v>520</v>
      </c>
      <c r="B484">
        <v>19</v>
      </c>
      <c r="C484">
        <v>107658</v>
      </c>
      <c r="D484">
        <v>766</v>
      </c>
      <c r="E484">
        <v>0.55644152857798601</v>
      </c>
      <c r="F484">
        <v>3</v>
      </c>
      <c r="G484">
        <v>0</v>
      </c>
      <c r="H484">
        <v>45776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 x14ac:dyDescent="0.4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 x14ac:dyDescent="0.4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 x14ac:dyDescent="0.4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 x14ac:dyDescent="0.4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 x14ac:dyDescent="0.4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 x14ac:dyDescent="0.4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 x14ac:dyDescent="0.4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 x14ac:dyDescent="0.4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 x14ac:dyDescent="0.4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 x14ac:dyDescent="0.4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 x14ac:dyDescent="0.4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 x14ac:dyDescent="0.4">
      <c r="A496" t="s">
        <v>532</v>
      </c>
      <c r="B496">
        <v>32</v>
      </c>
      <c r="C496">
        <v>107658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 x14ac:dyDescent="0.4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 x14ac:dyDescent="0.4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 x14ac:dyDescent="0.4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 x14ac:dyDescent="0.4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 x14ac:dyDescent="0.4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23EE-407A-4EFB-B56A-C044DB41A9A8}">
  <dimension ref="A3:B6"/>
  <sheetViews>
    <sheetView zoomScaleNormal="100" workbookViewId="0">
      <selection activeCell="B3" sqref="B3:B6"/>
    </sheetView>
  </sheetViews>
  <sheetFormatPr defaultRowHeight="16" x14ac:dyDescent="0.4"/>
  <cols>
    <col min="1" max="1" width="12.1640625" bestFit="1" customWidth="1"/>
    <col min="2" max="3" width="25.5" bestFit="1" customWidth="1"/>
  </cols>
  <sheetData>
    <row r="3" spans="1:2" x14ac:dyDescent="0.4">
      <c r="A3" s="1" t="s">
        <v>538</v>
      </c>
      <c r="B3" t="s">
        <v>540</v>
      </c>
    </row>
    <row r="4" spans="1:2" x14ac:dyDescent="0.4">
      <c r="A4" s="2">
        <v>0</v>
      </c>
      <c r="B4">
        <v>420</v>
      </c>
    </row>
    <row r="5" spans="1:2" x14ac:dyDescent="0.4">
      <c r="A5" s="2">
        <v>1</v>
      </c>
      <c r="B5">
        <v>80</v>
      </c>
    </row>
    <row r="6" spans="1:2" x14ac:dyDescent="0.4">
      <c r="A6" s="2" t="s">
        <v>539</v>
      </c>
      <c r="B6">
        <v>500</v>
      </c>
    </row>
  </sheetData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FD9B4-63A5-4002-9AE2-981160E3BB95}">
  <dimension ref="A3:E12"/>
  <sheetViews>
    <sheetView zoomScale="71" workbookViewId="0">
      <selection activeCell="D8" sqref="D8"/>
    </sheetView>
  </sheetViews>
  <sheetFormatPr defaultRowHeight="16" x14ac:dyDescent="0.4"/>
  <cols>
    <col min="1" max="1" width="19.6640625" bestFit="1" customWidth="1"/>
    <col min="2" max="2" width="16.5" bestFit="1" customWidth="1"/>
    <col min="3" max="3" width="3.1640625" bestFit="1" customWidth="1"/>
    <col min="4" max="4" width="10.5" bestFit="1" customWidth="1"/>
    <col min="5" max="5" width="19.08203125" bestFit="1" customWidth="1"/>
    <col min="6" max="6" width="26.58203125" bestFit="1" customWidth="1"/>
    <col min="7" max="7" width="23.6640625" bestFit="1" customWidth="1"/>
  </cols>
  <sheetData>
    <row r="3" spans="1:5" x14ac:dyDescent="0.4">
      <c r="A3" s="1" t="s">
        <v>542</v>
      </c>
      <c r="B3" s="1" t="s">
        <v>541</v>
      </c>
    </row>
    <row r="4" spans="1:5" x14ac:dyDescent="0.4">
      <c r="A4" s="1" t="s">
        <v>538</v>
      </c>
      <c r="B4">
        <v>0</v>
      </c>
      <c r="C4">
        <v>1</v>
      </c>
      <c r="D4" t="s">
        <v>539</v>
      </c>
      <c r="E4" t="s">
        <v>543</v>
      </c>
    </row>
    <row r="5" spans="1:5" x14ac:dyDescent="0.4">
      <c r="A5" s="2">
        <v>0</v>
      </c>
      <c r="B5">
        <v>63</v>
      </c>
      <c r="C5">
        <v>14</v>
      </c>
      <c r="D5">
        <v>77</v>
      </c>
      <c r="E5" s="3">
        <f>14/77</f>
        <v>0.18181818181818182</v>
      </c>
    </row>
    <row r="6" spans="1:5" x14ac:dyDescent="0.4">
      <c r="A6" s="2">
        <v>1</v>
      </c>
      <c r="B6">
        <v>44</v>
      </c>
      <c r="C6">
        <v>10</v>
      </c>
      <c r="D6">
        <v>54</v>
      </c>
      <c r="E6" s="3">
        <f>10/54</f>
        <v>0.18518518518518517</v>
      </c>
    </row>
    <row r="7" spans="1:5" x14ac:dyDescent="0.4">
      <c r="A7" s="2">
        <v>2</v>
      </c>
      <c r="B7">
        <v>66</v>
      </c>
      <c r="C7">
        <v>13</v>
      </c>
      <c r="D7">
        <v>79</v>
      </c>
      <c r="E7" s="3">
        <f>13/79</f>
        <v>0.16455696202531644</v>
      </c>
    </row>
    <row r="8" spans="1:5" x14ac:dyDescent="0.4">
      <c r="A8" s="2">
        <v>3</v>
      </c>
      <c r="B8">
        <v>69</v>
      </c>
      <c r="C8">
        <v>9</v>
      </c>
      <c r="D8">
        <v>78</v>
      </c>
      <c r="E8" s="3">
        <f>9/78</f>
        <v>0.11538461538461539</v>
      </c>
    </row>
    <row r="9" spans="1:5" x14ac:dyDescent="0.4">
      <c r="A9" s="2">
        <v>4</v>
      </c>
      <c r="B9">
        <v>71</v>
      </c>
      <c r="C9">
        <v>12</v>
      </c>
      <c r="D9">
        <v>83</v>
      </c>
      <c r="E9" s="3">
        <f>12/83</f>
        <v>0.14457831325301204</v>
      </c>
    </row>
    <row r="10" spans="1:5" x14ac:dyDescent="0.4">
      <c r="A10" s="2">
        <v>5</v>
      </c>
      <c r="B10">
        <v>53</v>
      </c>
      <c r="C10">
        <v>15</v>
      </c>
      <c r="D10">
        <v>68</v>
      </c>
      <c r="E10" s="3">
        <f>15/68</f>
        <v>0.22058823529411764</v>
      </c>
    </row>
    <row r="11" spans="1:5" x14ac:dyDescent="0.4">
      <c r="A11" s="2">
        <v>6</v>
      </c>
      <c r="B11">
        <v>54</v>
      </c>
      <c r="C11">
        <v>7</v>
      </c>
      <c r="D11">
        <v>61</v>
      </c>
      <c r="E11" s="3">
        <f>7/61</f>
        <v>0.11475409836065574</v>
      </c>
    </row>
    <row r="12" spans="1:5" x14ac:dyDescent="0.4">
      <c r="A12" s="2" t="s">
        <v>539</v>
      </c>
      <c r="B12">
        <v>420</v>
      </c>
      <c r="C12">
        <v>80</v>
      </c>
      <c r="D12">
        <v>500</v>
      </c>
      <c r="E12" s="3">
        <f>80/500</f>
        <v>0.16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B9B7-0511-9A41-B96E-08EFA2105853}">
  <dimension ref="A1:S501"/>
  <sheetViews>
    <sheetView zoomScale="53" zoomScaleNormal="45" workbookViewId="0">
      <selection sqref="A1:S501"/>
    </sheetView>
  </sheetViews>
  <sheetFormatPr defaultColWidth="10.6640625" defaultRowHeight="16" x14ac:dyDescent="0.4"/>
  <sheetData>
    <row r="1" spans="1:1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 x14ac:dyDescent="0.4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 x14ac:dyDescent="0.4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 x14ac:dyDescent="0.4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 x14ac:dyDescent="0.4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 x14ac:dyDescent="0.4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 x14ac:dyDescent="0.4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 x14ac:dyDescent="0.4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 x14ac:dyDescent="0.4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 x14ac:dyDescent="0.4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 x14ac:dyDescent="0.4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 x14ac:dyDescent="0.4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 x14ac:dyDescent="0.4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 x14ac:dyDescent="0.4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 x14ac:dyDescent="0.4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 x14ac:dyDescent="0.4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 x14ac:dyDescent="0.4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 x14ac:dyDescent="0.4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 x14ac:dyDescent="0.4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 x14ac:dyDescent="0.4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 x14ac:dyDescent="0.4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 x14ac:dyDescent="0.4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 x14ac:dyDescent="0.4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 x14ac:dyDescent="0.4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 x14ac:dyDescent="0.4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 x14ac:dyDescent="0.4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 x14ac:dyDescent="0.4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 x14ac:dyDescent="0.4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 x14ac:dyDescent="0.4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 x14ac:dyDescent="0.4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 x14ac:dyDescent="0.4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 x14ac:dyDescent="0.4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 x14ac:dyDescent="0.4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 x14ac:dyDescent="0.4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 x14ac:dyDescent="0.4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 x14ac:dyDescent="0.4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 x14ac:dyDescent="0.4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 x14ac:dyDescent="0.4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 x14ac:dyDescent="0.4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 x14ac:dyDescent="0.4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 x14ac:dyDescent="0.4">
      <c r="A42" t="s">
        <v>78</v>
      </c>
      <c r="B42">
        <v>61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 x14ac:dyDescent="0.4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 x14ac:dyDescent="0.4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 x14ac:dyDescent="0.4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 x14ac:dyDescent="0.4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 x14ac:dyDescent="0.4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 x14ac:dyDescent="0.4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 x14ac:dyDescent="0.4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 x14ac:dyDescent="0.4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 x14ac:dyDescent="0.4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 x14ac:dyDescent="0.4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 x14ac:dyDescent="0.4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 x14ac:dyDescent="0.4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 x14ac:dyDescent="0.4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 x14ac:dyDescent="0.4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 x14ac:dyDescent="0.4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 x14ac:dyDescent="0.4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 x14ac:dyDescent="0.4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 x14ac:dyDescent="0.4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 x14ac:dyDescent="0.4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 x14ac:dyDescent="0.4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 x14ac:dyDescent="0.4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 x14ac:dyDescent="0.4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 x14ac:dyDescent="0.4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 x14ac:dyDescent="0.4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 x14ac:dyDescent="0.4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 x14ac:dyDescent="0.4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 x14ac:dyDescent="0.4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 x14ac:dyDescent="0.4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 x14ac:dyDescent="0.4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 x14ac:dyDescent="0.4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 x14ac:dyDescent="0.4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 x14ac:dyDescent="0.4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 x14ac:dyDescent="0.4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 x14ac:dyDescent="0.4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 x14ac:dyDescent="0.4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 x14ac:dyDescent="0.4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 x14ac:dyDescent="0.4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 x14ac:dyDescent="0.4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 x14ac:dyDescent="0.4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 x14ac:dyDescent="0.4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 x14ac:dyDescent="0.4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 x14ac:dyDescent="0.4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 x14ac:dyDescent="0.4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 x14ac:dyDescent="0.4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 x14ac:dyDescent="0.4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 x14ac:dyDescent="0.4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 x14ac:dyDescent="0.4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 x14ac:dyDescent="0.4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 x14ac:dyDescent="0.4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 x14ac:dyDescent="0.4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 x14ac:dyDescent="0.4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 x14ac:dyDescent="0.4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 x14ac:dyDescent="0.4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 x14ac:dyDescent="0.4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 x14ac:dyDescent="0.4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 x14ac:dyDescent="0.4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 x14ac:dyDescent="0.4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 x14ac:dyDescent="0.4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 x14ac:dyDescent="0.4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 x14ac:dyDescent="0.4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 x14ac:dyDescent="0.4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 x14ac:dyDescent="0.4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 x14ac:dyDescent="0.4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 x14ac:dyDescent="0.4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 x14ac:dyDescent="0.4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 x14ac:dyDescent="0.4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 x14ac:dyDescent="0.4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 x14ac:dyDescent="0.4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 x14ac:dyDescent="0.4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 x14ac:dyDescent="0.4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 x14ac:dyDescent="0.4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 x14ac:dyDescent="0.4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 x14ac:dyDescent="0.4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 x14ac:dyDescent="0.4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 x14ac:dyDescent="0.4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 x14ac:dyDescent="0.4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 x14ac:dyDescent="0.4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 x14ac:dyDescent="0.4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 x14ac:dyDescent="0.4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 x14ac:dyDescent="0.4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 x14ac:dyDescent="0.4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 x14ac:dyDescent="0.4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 x14ac:dyDescent="0.4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 x14ac:dyDescent="0.4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 x14ac:dyDescent="0.4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 x14ac:dyDescent="0.4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 x14ac:dyDescent="0.4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 x14ac:dyDescent="0.4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 x14ac:dyDescent="0.4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 x14ac:dyDescent="0.4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 x14ac:dyDescent="0.4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 x14ac:dyDescent="0.4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 x14ac:dyDescent="0.4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 x14ac:dyDescent="0.4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 x14ac:dyDescent="0.4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 x14ac:dyDescent="0.4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 x14ac:dyDescent="0.4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 x14ac:dyDescent="0.4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 x14ac:dyDescent="0.4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 x14ac:dyDescent="0.4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 x14ac:dyDescent="0.4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 x14ac:dyDescent="0.4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 x14ac:dyDescent="0.4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 x14ac:dyDescent="0.4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 x14ac:dyDescent="0.4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 x14ac:dyDescent="0.4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 x14ac:dyDescent="0.4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 x14ac:dyDescent="0.4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 x14ac:dyDescent="0.4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 x14ac:dyDescent="0.4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 x14ac:dyDescent="0.4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 x14ac:dyDescent="0.4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 x14ac:dyDescent="0.4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 x14ac:dyDescent="0.4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 x14ac:dyDescent="0.4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 x14ac:dyDescent="0.4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 x14ac:dyDescent="0.4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 x14ac:dyDescent="0.4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 x14ac:dyDescent="0.4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 x14ac:dyDescent="0.4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 x14ac:dyDescent="0.4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 x14ac:dyDescent="0.4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 x14ac:dyDescent="0.4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 x14ac:dyDescent="0.4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 x14ac:dyDescent="0.4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 x14ac:dyDescent="0.4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 x14ac:dyDescent="0.4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 x14ac:dyDescent="0.4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 x14ac:dyDescent="0.4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 x14ac:dyDescent="0.4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 x14ac:dyDescent="0.4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 x14ac:dyDescent="0.4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 x14ac:dyDescent="0.4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 x14ac:dyDescent="0.4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 x14ac:dyDescent="0.4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 x14ac:dyDescent="0.4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 x14ac:dyDescent="0.4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 x14ac:dyDescent="0.4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 x14ac:dyDescent="0.4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 x14ac:dyDescent="0.4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 x14ac:dyDescent="0.4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 x14ac:dyDescent="0.4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 x14ac:dyDescent="0.4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 x14ac:dyDescent="0.4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 x14ac:dyDescent="0.4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 x14ac:dyDescent="0.4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 x14ac:dyDescent="0.4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 x14ac:dyDescent="0.4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 x14ac:dyDescent="0.4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 x14ac:dyDescent="0.4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 x14ac:dyDescent="0.4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 x14ac:dyDescent="0.4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 x14ac:dyDescent="0.4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 x14ac:dyDescent="0.4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 x14ac:dyDescent="0.4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 x14ac:dyDescent="0.4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 x14ac:dyDescent="0.4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 x14ac:dyDescent="0.4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 x14ac:dyDescent="0.4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 x14ac:dyDescent="0.4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 x14ac:dyDescent="0.4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 x14ac:dyDescent="0.4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 x14ac:dyDescent="0.4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 x14ac:dyDescent="0.4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 x14ac:dyDescent="0.4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 x14ac:dyDescent="0.4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 x14ac:dyDescent="0.4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 x14ac:dyDescent="0.4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 x14ac:dyDescent="0.4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 x14ac:dyDescent="0.4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 x14ac:dyDescent="0.4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 x14ac:dyDescent="0.4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 x14ac:dyDescent="0.4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 x14ac:dyDescent="0.4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 x14ac:dyDescent="0.4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 x14ac:dyDescent="0.4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 x14ac:dyDescent="0.4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 x14ac:dyDescent="0.4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 x14ac:dyDescent="0.4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 x14ac:dyDescent="0.4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 x14ac:dyDescent="0.4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 x14ac:dyDescent="0.4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 x14ac:dyDescent="0.4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 x14ac:dyDescent="0.4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 x14ac:dyDescent="0.4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 x14ac:dyDescent="0.4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 x14ac:dyDescent="0.4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 x14ac:dyDescent="0.4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 x14ac:dyDescent="0.4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 x14ac:dyDescent="0.4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 x14ac:dyDescent="0.4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 x14ac:dyDescent="0.4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 x14ac:dyDescent="0.4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 x14ac:dyDescent="0.4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 x14ac:dyDescent="0.4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 x14ac:dyDescent="0.4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 x14ac:dyDescent="0.4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 x14ac:dyDescent="0.4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 x14ac:dyDescent="0.4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 x14ac:dyDescent="0.4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 x14ac:dyDescent="0.4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 x14ac:dyDescent="0.4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 x14ac:dyDescent="0.4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 x14ac:dyDescent="0.4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 x14ac:dyDescent="0.4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 x14ac:dyDescent="0.4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 x14ac:dyDescent="0.4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 x14ac:dyDescent="0.4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 x14ac:dyDescent="0.4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 x14ac:dyDescent="0.4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 x14ac:dyDescent="0.4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 x14ac:dyDescent="0.4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 x14ac:dyDescent="0.4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 x14ac:dyDescent="0.4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 x14ac:dyDescent="0.4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 x14ac:dyDescent="0.4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 x14ac:dyDescent="0.4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 x14ac:dyDescent="0.4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 x14ac:dyDescent="0.4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 x14ac:dyDescent="0.4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 x14ac:dyDescent="0.4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 x14ac:dyDescent="0.4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 x14ac:dyDescent="0.4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 x14ac:dyDescent="0.4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 x14ac:dyDescent="0.4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 x14ac:dyDescent="0.4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 x14ac:dyDescent="0.4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 x14ac:dyDescent="0.4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 x14ac:dyDescent="0.4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 x14ac:dyDescent="0.4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 x14ac:dyDescent="0.4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 x14ac:dyDescent="0.4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 x14ac:dyDescent="0.4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 x14ac:dyDescent="0.4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 x14ac:dyDescent="0.4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 x14ac:dyDescent="0.4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 x14ac:dyDescent="0.4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 x14ac:dyDescent="0.4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 x14ac:dyDescent="0.4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 x14ac:dyDescent="0.4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 x14ac:dyDescent="0.4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 x14ac:dyDescent="0.4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 x14ac:dyDescent="0.4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 x14ac:dyDescent="0.4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 x14ac:dyDescent="0.4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 x14ac:dyDescent="0.4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 x14ac:dyDescent="0.4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 x14ac:dyDescent="0.4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 x14ac:dyDescent="0.4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 x14ac:dyDescent="0.4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 x14ac:dyDescent="0.4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 x14ac:dyDescent="0.4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 x14ac:dyDescent="0.4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 x14ac:dyDescent="0.4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 x14ac:dyDescent="0.4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 x14ac:dyDescent="0.4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 x14ac:dyDescent="0.4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 x14ac:dyDescent="0.4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 x14ac:dyDescent="0.4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 x14ac:dyDescent="0.4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 x14ac:dyDescent="0.4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 x14ac:dyDescent="0.4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 x14ac:dyDescent="0.4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 x14ac:dyDescent="0.4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 x14ac:dyDescent="0.4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 x14ac:dyDescent="0.4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 x14ac:dyDescent="0.4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 x14ac:dyDescent="0.4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 x14ac:dyDescent="0.4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 x14ac:dyDescent="0.4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 x14ac:dyDescent="0.4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 x14ac:dyDescent="0.4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 x14ac:dyDescent="0.4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 x14ac:dyDescent="0.4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 x14ac:dyDescent="0.4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 x14ac:dyDescent="0.4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 x14ac:dyDescent="0.4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 x14ac:dyDescent="0.4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 x14ac:dyDescent="0.4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 x14ac:dyDescent="0.4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 x14ac:dyDescent="0.4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 x14ac:dyDescent="0.4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 x14ac:dyDescent="0.4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 x14ac:dyDescent="0.4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 x14ac:dyDescent="0.4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 x14ac:dyDescent="0.4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 x14ac:dyDescent="0.4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 x14ac:dyDescent="0.4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 x14ac:dyDescent="0.4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 x14ac:dyDescent="0.4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 x14ac:dyDescent="0.4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 x14ac:dyDescent="0.4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 x14ac:dyDescent="0.4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 x14ac:dyDescent="0.4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 x14ac:dyDescent="0.4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 x14ac:dyDescent="0.4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 x14ac:dyDescent="0.4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 x14ac:dyDescent="0.4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 x14ac:dyDescent="0.4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 x14ac:dyDescent="0.4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 x14ac:dyDescent="0.4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 x14ac:dyDescent="0.4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 x14ac:dyDescent="0.4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 x14ac:dyDescent="0.4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 x14ac:dyDescent="0.4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 x14ac:dyDescent="0.4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 x14ac:dyDescent="0.4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 x14ac:dyDescent="0.4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 x14ac:dyDescent="0.4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 x14ac:dyDescent="0.4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 x14ac:dyDescent="0.4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 x14ac:dyDescent="0.4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 x14ac:dyDescent="0.4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 x14ac:dyDescent="0.4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 x14ac:dyDescent="0.4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 x14ac:dyDescent="0.4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 x14ac:dyDescent="0.4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 x14ac:dyDescent="0.4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 x14ac:dyDescent="0.4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 x14ac:dyDescent="0.4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 x14ac:dyDescent="0.4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 x14ac:dyDescent="0.4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 x14ac:dyDescent="0.4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 x14ac:dyDescent="0.4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 x14ac:dyDescent="0.4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 x14ac:dyDescent="0.4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 x14ac:dyDescent="0.4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 x14ac:dyDescent="0.4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 x14ac:dyDescent="0.4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 x14ac:dyDescent="0.4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 x14ac:dyDescent="0.4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 x14ac:dyDescent="0.4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 x14ac:dyDescent="0.4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 x14ac:dyDescent="0.4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 x14ac:dyDescent="0.4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 x14ac:dyDescent="0.4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 x14ac:dyDescent="0.4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 x14ac:dyDescent="0.4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 x14ac:dyDescent="0.4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 x14ac:dyDescent="0.4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 x14ac:dyDescent="0.4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 x14ac:dyDescent="0.4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 x14ac:dyDescent="0.4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 x14ac:dyDescent="0.4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 x14ac:dyDescent="0.4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 x14ac:dyDescent="0.4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 x14ac:dyDescent="0.4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 x14ac:dyDescent="0.4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 x14ac:dyDescent="0.4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 x14ac:dyDescent="0.4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 x14ac:dyDescent="0.4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 x14ac:dyDescent="0.4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 x14ac:dyDescent="0.4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 x14ac:dyDescent="0.4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 x14ac:dyDescent="0.4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 x14ac:dyDescent="0.4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 x14ac:dyDescent="0.4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 x14ac:dyDescent="0.4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 x14ac:dyDescent="0.4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 x14ac:dyDescent="0.4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 x14ac:dyDescent="0.4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 x14ac:dyDescent="0.4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 x14ac:dyDescent="0.4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 x14ac:dyDescent="0.4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 x14ac:dyDescent="0.4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 x14ac:dyDescent="0.4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 x14ac:dyDescent="0.4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 x14ac:dyDescent="0.4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 x14ac:dyDescent="0.4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 x14ac:dyDescent="0.4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 x14ac:dyDescent="0.4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 x14ac:dyDescent="0.4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 x14ac:dyDescent="0.4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 x14ac:dyDescent="0.4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 x14ac:dyDescent="0.4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 x14ac:dyDescent="0.4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 x14ac:dyDescent="0.4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 x14ac:dyDescent="0.4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 x14ac:dyDescent="0.4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 x14ac:dyDescent="0.4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 x14ac:dyDescent="0.4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 x14ac:dyDescent="0.4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 x14ac:dyDescent="0.4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 x14ac:dyDescent="0.4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 x14ac:dyDescent="0.4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 x14ac:dyDescent="0.4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 x14ac:dyDescent="0.4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 x14ac:dyDescent="0.4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 x14ac:dyDescent="0.4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 x14ac:dyDescent="0.4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 x14ac:dyDescent="0.4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 x14ac:dyDescent="0.4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 x14ac:dyDescent="0.4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 x14ac:dyDescent="0.4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 x14ac:dyDescent="0.4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 x14ac:dyDescent="0.4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 x14ac:dyDescent="0.4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 x14ac:dyDescent="0.4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 x14ac:dyDescent="0.4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 x14ac:dyDescent="0.4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 x14ac:dyDescent="0.4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 x14ac:dyDescent="0.4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 x14ac:dyDescent="0.4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 x14ac:dyDescent="0.4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 x14ac:dyDescent="0.4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 x14ac:dyDescent="0.4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 x14ac:dyDescent="0.4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 x14ac:dyDescent="0.4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 x14ac:dyDescent="0.4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 x14ac:dyDescent="0.4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 x14ac:dyDescent="0.4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 x14ac:dyDescent="0.4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 x14ac:dyDescent="0.4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 x14ac:dyDescent="0.4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 x14ac:dyDescent="0.4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 x14ac:dyDescent="0.4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 x14ac:dyDescent="0.4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 x14ac:dyDescent="0.4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 x14ac:dyDescent="0.4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 x14ac:dyDescent="0.4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 x14ac:dyDescent="0.4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 x14ac:dyDescent="0.4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 x14ac:dyDescent="0.4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 x14ac:dyDescent="0.4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 x14ac:dyDescent="0.4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 x14ac:dyDescent="0.4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 x14ac:dyDescent="0.4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 x14ac:dyDescent="0.4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 x14ac:dyDescent="0.4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 x14ac:dyDescent="0.4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 x14ac:dyDescent="0.4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 x14ac:dyDescent="0.4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 x14ac:dyDescent="0.4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 x14ac:dyDescent="0.4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 x14ac:dyDescent="0.4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 x14ac:dyDescent="0.4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 x14ac:dyDescent="0.4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 x14ac:dyDescent="0.4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 x14ac:dyDescent="0.4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 x14ac:dyDescent="0.4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 x14ac:dyDescent="0.4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 x14ac:dyDescent="0.4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 x14ac:dyDescent="0.4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 x14ac:dyDescent="0.4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 x14ac:dyDescent="0.4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 x14ac:dyDescent="0.4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 x14ac:dyDescent="0.4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 x14ac:dyDescent="0.4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 x14ac:dyDescent="0.4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 x14ac:dyDescent="0.4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 x14ac:dyDescent="0.4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 x14ac:dyDescent="0.4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 x14ac:dyDescent="0.4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 x14ac:dyDescent="0.4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 x14ac:dyDescent="0.4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 x14ac:dyDescent="0.4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 x14ac:dyDescent="0.4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 x14ac:dyDescent="0.4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 x14ac:dyDescent="0.4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Sheet4</vt:lpstr>
      <vt:lpstr>Sheet5</vt:lpstr>
      <vt:lpstr>Sheet6</vt:lpstr>
      <vt:lpstr>Cleaned_Data</vt:lpstr>
      <vt:lpstr>Sheet1</vt:lpstr>
      <vt:lpstr>Sheet3</vt:lpstr>
      <vt:lpstr>Delinquency_prediction_dataset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Tammy</dc:creator>
  <cp:lastModifiedBy>J Jahnavi</cp:lastModifiedBy>
  <dcterms:created xsi:type="dcterms:W3CDTF">2025-03-20T10:37:19Z</dcterms:created>
  <dcterms:modified xsi:type="dcterms:W3CDTF">2026-10-20T07:44:20Z</dcterms:modified>
</cp:coreProperties>
</file>